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 1" sheetId="1" r:id="rId4"/>
    <sheet state="visible" name="AUDI 2" sheetId="2" r:id="rId5"/>
    <sheet state="visible" name="AUDI 3" sheetId="3" r:id="rId6"/>
    <sheet state="visible" name="AUDI 4" sheetId="4" r:id="rId7"/>
    <sheet state="visible" name="Sheet1" sheetId="5" r:id="rId8"/>
  </sheets>
  <definedNames/>
  <calcPr/>
</workbook>
</file>

<file path=xl/sharedStrings.xml><?xml version="1.0" encoding="utf-8"?>
<sst xmlns="http://schemas.openxmlformats.org/spreadsheetml/2006/main" count="323" uniqueCount="49">
  <si>
    <t>PVR SANGAM AUDI 1</t>
  </si>
  <si>
    <t>PVR SANGAM AUDI 1 _ Proposed SEAT CATEGORY NOMENCLATURE</t>
  </si>
  <si>
    <t>RECLINERS</t>
  </si>
  <si>
    <t>Q</t>
  </si>
  <si>
    <t>MAINSTREAM</t>
  </si>
  <si>
    <t>TOTAL</t>
  </si>
  <si>
    <t>PP</t>
  </si>
  <si>
    <t>P</t>
  </si>
  <si>
    <t>N</t>
  </si>
  <si>
    <t>Classic</t>
  </si>
  <si>
    <t>CLASSIC ROWS</t>
  </si>
  <si>
    <t>M</t>
  </si>
  <si>
    <t>Prime</t>
  </si>
  <si>
    <t>PRIME ROWS</t>
  </si>
  <si>
    <t>L</t>
  </si>
  <si>
    <t xml:space="preserve">Recliner  </t>
  </si>
  <si>
    <t xml:space="preserve">RECLINER ROWS </t>
  </si>
  <si>
    <t>PR</t>
  </si>
  <si>
    <t>K</t>
  </si>
  <si>
    <t xml:space="preserve">Total  </t>
  </si>
  <si>
    <t>J</t>
  </si>
  <si>
    <t xml:space="preserve">Handicapped Seat </t>
  </si>
  <si>
    <t>A :- 14</t>
  </si>
  <si>
    <t>H</t>
  </si>
  <si>
    <t>G</t>
  </si>
  <si>
    <t>Special House Seat N Row</t>
  </si>
  <si>
    <t>F</t>
  </si>
  <si>
    <t>E</t>
  </si>
  <si>
    <t>D</t>
  </si>
  <si>
    <t>C</t>
  </si>
  <si>
    <t>B</t>
  </si>
  <si>
    <t>A</t>
  </si>
  <si>
    <t>PVR SANGAM AUDI 2</t>
  </si>
  <si>
    <t>PVR SANGAM AUDI 2_Proposed SEAT CATEGORY NOMENCLATURE</t>
  </si>
  <si>
    <t>PVR SANGAM AUDI 3</t>
  </si>
  <si>
    <t>PVR SANGAM AUDI 3_Proposed SEAT CATEGORY NOMENCLATURE</t>
  </si>
  <si>
    <t>R</t>
  </si>
  <si>
    <t>A :- 5</t>
  </si>
  <si>
    <t>Special House Seat P Row</t>
  </si>
  <si>
    <t>PVR SANGAM AUDI 4</t>
  </si>
  <si>
    <t>PVR SANGAM AUDI 4_Proposed SEAT CATEGORY NOMENCLATURE</t>
  </si>
  <si>
    <t>A :- 1</t>
  </si>
  <si>
    <t>Audi 1</t>
  </si>
  <si>
    <t>Audi 2</t>
  </si>
  <si>
    <t>Audi 3</t>
  </si>
  <si>
    <t>Audi 4</t>
  </si>
  <si>
    <t>Recliners</t>
  </si>
  <si>
    <t xml:space="preserve">Prime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</si>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</sst>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/>
      <name val="Arial"/>
      <scheme val="minor"/>
    </font>
    <font>
      <sz val="11.0"/>
      <color/>
      <name val="Calibri"/>
    </font>
    <font>
      <sz val="20.0"/>
      <color/>
      <name val="Calibri"/>
    </font>
    <font/>
    <font>
      <b/>
      <sz val="11.0"/>
      <color/>
      <name val="Calibri"/>
    </font>
    <font>
      <b/>
      <sz val="12.0"/>
      <name val="Cambria"/>
    </font>
    <font>
      <sz val="12.0"/>
      <color/>
      <name val="Cambria"/>
    </font>
    <font>
      <b/>
      <sz val="18.0"/>
      <color/>
      <name val="Calibri"/>
    </font>
    <font>
      <sz val="18.0"/>
      <color/>
      <name val="Calibri"/>
    </font>
    <font>
      <sz val="12.0"/>
      <color rgb="FF000000"/>
      <name val="Cambria"/>
    </font>
    <font>
      <b/>
      <sz val="12.0"/>
      <color rgb="FF000000"/>
      <name val="Cambria"/>
    </font>
    <font>
      <sz val="12.0"/>
      <color rgb="FFFF0000"/>
      <name val="Cambria"/>
    </font>
    <font>
      <sz val="16.0"/>
      <color/>
      <name val="Calibri"/>
    </font>
    <font>
      <b/>
      <sz val="12.0"/>
      <color/>
      <name val="Calibri"/>
    </font>
    <font>
      <sz val="12.0"/>
      <color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99CC"/>
        <bgColor rgb="FFFF99CC"/>
      </patternFill>
    </fill>
    <fill>
      <patternFill patternType="solid">
        <fgColor rgb="FF00B050"/>
        <bgColor rgb="FF00B050"/>
      </patternFill>
    </fill>
    <fill>
      <patternFill patternType="solid">
        <fgColor rgb="FFE36C09"/>
        <bgColor rgb="FFE36C09"/>
      </patternFill>
    </fill>
    <fill>
      <patternFill patternType="solid">
        <fgColor rgb="FFFFFF00"/>
        <bgColor rgb="FFFFFF00"/>
      </patternFill>
    </fill>
    <fill>
      <patternFill patternType="solid">
        <fgColor rgb="FF00CCFF"/>
        <bgColor rgb="FF00CCFF"/>
      </patternFill>
    </fill>
    <fill>
      <patternFill patternType="solid">
        <fgColor rgb="FF008000"/>
        <bgColor rgb="FF008000"/>
      </patternFill>
    </fill>
    <fill>
      <patternFill patternType="solid">
        <fgColor rgb="FFE5B8B7"/>
        <bgColor rgb="FFE5B8B7"/>
      </patternFill>
    </fill>
    <fill>
      <patternFill patternType="solid">
        <fgColor rgb="FF00B0F0"/>
        <bgColor rgb="FF00B0F0"/>
      </patternFill>
    </fill>
  </fills>
  <borders count="3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2" fontId="5" numFmtId="0" xfId="0" applyAlignment="1" applyBorder="1" applyFill="1" applyFont="1">
      <alignment horizontal="center" vertical="center"/>
    </xf>
    <xf borderId="0" fillId="0" fontId="6" numFmtId="0" xfId="0" applyFont="1"/>
    <xf borderId="0" fillId="0" fontId="7" numFmtId="0" xfId="0" applyAlignment="1" applyFont="1">
      <alignment horizontal="center"/>
    </xf>
    <xf borderId="8" fillId="0" fontId="7" numFmtId="0" xfId="0" applyBorder="1" applyFont="1"/>
    <xf borderId="9" fillId="3" fontId="7" numFmtId="0" xfId="0" applyAlignment="1" applyBorder="1" applyFill="1" applyFont="1">
      <alignment horizontal="center"/>
    </xf>
    <xf borderId="10" fillId="0" fontId="3" numFmtId="0" xfId="0" applyBorder="1" applyFont="1"/>
    <xf borderId="7" fillId="3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/>
    </xf>
    <xf borderId="0" fillId="0" fontId="8" numFmtId="0" xfId="0" applyFont="1"/>
    <xf borderId="7" fillId="4" fontId="7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7" fillId="5" fontId="7" numFmtId="0" xfId="0" applyAlignment="1" applyBorder="1" applyFill="1" applyFont="1">
      <alignment horizontal="center"/>
    </xf>
    <xf borderId="7" fillId="6" fontId="9" numFmtId="0" xfId="0" applyAlignment="1" applyBorder="1" applyFill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5" numFmtId="9" xfId="0" applyAlignment="1" applyBorder="1" applyFont="1" applyNumberFormat="1">
      <alignment horizontal="center" vertical="center"/>
    </xf>
    <xf borderId="7" fillId="4" fontId="10" numFmtId="0" xfId="0" applyAlignment="1" applyBorder="1" applyFont="1">
      <alignment horizontal="center" vertical="center"/>
    </xf>
    <xf borderId="7" fillId="7" fontId="5" numFmtId="0" xfId="0" applyAlignment="1" applyBorder="1" applyFill="1" applyFont="1">
      <alignment horizontal="center" shrinkToFit="0" vertical="center" wrapText="1"/>
    </xf>
    <xf borderId="12" fillId="4" fontId="7" numFmtId="0" xfId="0" applyAlignment="1" applyBorder="1" applyFont="1">
      <alignment horizontal="center"/>
    </xf>
    <xf borderId="13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5" fillId="0" fontId="5" numFmtId="9" xfId="0" applyAlignment="1" applyBorder="1" applyFont="1" applyNumberFormat="1">
      <alignment horizontal="center" vertical="center"/>
    </xf>
    <xf borderId="16" fillId="8" fontId="5" numFmtId="0" xfId="0" applyAlignment="1" applyBorder="1" applyFill="1" applyFont="1">
      <alignment horizontal="center" vertical="center"/>
    </xf>
    <xf borderId="17" fillId="5" fontId="11" numFmtId="0" xfId="0" applyBorder="1" applyFont="1"/>
    <xf borderId="17" fillId="5" fontId="12" numFmtId="0" xfId="0" applyAlignment="1" applyBorder="1" applyFont="1">
      <alignment horizontal="center"/>
    </xf>
    <xf borderId="0" fillId="0" fontId="12" numFmtId="0" xfId="0" applyFont="1"/>
    <xf borderId="7" fillId="9" fontId="7" numFmtId="0" xfId="0" applyAlignment="1" applyBorder="1" applyFill="1" applyFont="1">
      <alignment horizontal="center"/>
    </xf>
    <xf borderId="0" fillId="0" fontId="1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8" fillId="0" fontId="7" numFmtId="0" xfId="0" applyAlignment="1" applyBorder="1" applyFont="1">
      <alignment vertical="center"/>
    </xf>
    <xf borderId="7" fillId="9" fontId="7" numFmtId="0" xfId="0" applyAlignment="1" applyBorder="1" applyFont="1">
      <alignment horizontal="center" vertical="center"/>
    </xf>
    <xf borderId="7" fillId="8" fontId="7" numFmtId="0" xfId="0" applyAlignment="1" applyBorder="1" applyFont="1">
      <alignment horizontal="right" vertical="center"/>
    </xf>
    <xf borderId="0" fillId="0" fontId="7" numFmtId="0" xfId="0" applyAlignment="1" applyFont="1">
      <alignment vertical="center"/>
    </xf>
    <xf borderId="11" fillId="0" fontId="7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8" fillId="0" fontId="8" numFmtId="0" xfId="0" applyBorder="1" applyFont="1"/>
    <xf borderId="11" fillId="0" fontId="8" numFmtId="0" xfId="0" applyBorder="1" applyFont="1"/>
    <xf borderId="8" fillId="0" fontId="1" numFmtId="0" xfId="0" applyBorder="1" applyFont="1"/>
    <xf borderId="11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5" fontId="13" numFmtId="0" xfId="0" applyAlignment="1" applyBorder="1" applyFont="1">
      <alignment horizontal="center"/>
    </xf>
    <xf borderId="22" fillId="5" fontId="13" numFmtId="0" xfId="0" applyAlignment="1" applyBorder="1" applyFont="1">
      <alignment horizontal="center"/>
    </xf>
    <xf borderId="15" fillId="5" fontId="13" numFmtId="0" xfId="0" applyAlignment="1" applyBorder="1" applyFont="1">
      <alignment horizontal="center"/>
    </xf>
    <xf borderId="23" fillId="5" fontId="13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/>
    </xf>
    <xf borderId="25" fillId="0" fontId="14" numFmtId="0" xfId="0" applyAlignment="1" applyBorder="1" applyFont="1">
      <alignment horizontal="center"/>
    </xf>
    <xf borderId="26" fillId="0" fontId="14" numFmtId="0" xfId="0" applyAlignment="1" applyBorder="1" applyFont="1">
      <alignment horizontal="center"/>
    </xf>
    <xf borderId="27" fillId="0" fontId="3" numFmtId="0" xfId="0" applyBorder="1" applyFont="1"/>
    <xf borderId="28" fillId="0" fontId="13" numFmtId="0" xfId="0" applyAlignment="1" applyBorder="1" applyFont="1">
      <alignment horizontal="center"/>
    </xf>
    <xf borderId="7" fillId="0" fontId="14" numFmtId="0" xfId="0" applyAlignment="1" applyBorder="1" applyFont="1">
      <alignment horizontal="center"/>
    </xf>
    <xf borderId="9" fillId="0" fontId="14" numFmtId="0" xfId="0" applyAlignment="1" applyBorder="1" applyFont="1">
      <alignment horizontal="center"/>
    </xf>
    <xf borderId="29" fillId="5" fontId="13" numFmtId="0" xfId="0" applyAlignment="1" applyBorder="1" applyFont="1">
      <alignment horizontal="center"/>
    </xf>
    <xf borderId="30" fillId="5" fontId="13" numFmtId="0" xfId="0" applyAlignment="1" applyBorder="1" applyFont="1">
      <alignment horizontal="center"/>
    </xf>
    <xf borderId="31" fillId="5" fontId="13" numFmtId="0" xfId="0" applyAlignment="1" applyBorder="1" applyFont="1">
      <alignment horizontal="center"/>
    </xf>
    <xf borderId="32" fillId="0" fontId="3" numFmtId="0" xfId="0" applyBorder="1" applyFont="1"/>
    <xf borderId="7" fillId="5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26</xdr:row>
      <xdr:rowOff>142875</xdr:rowOff>
    </xdr:from>
    <xdr:ext cx="12220575" cy="381000"/>
    <xdr:sp macro="" textlink="">
      <xdr:nvSpPr>
        <xdr:cNvPr id="2" name="Rectangle 1"/>
        <xdr:cNvSpPr/>
      </xdr:nvSpPr>
      <xdr:spPr>
        <a:xfrm>
          <a:off x="1850390" y="7334250"/>
          <a:ext cx="12217400" cy="368300"/>
        </a:xfrm>
        <a:prstGeom prst="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3200"/>
            <a:t>SCREEN</a:t>
          </a:r>
        </a:p>
      </xdr:txBody>
    </xdr:sp>
    <xdr:clientData fLocksWithSheet="0"/>
  </xdr:oneCellAnchor>
  <xdr:oneCellAnchor>
    <xdr:from>
      <xdr:col>22</xdr:col>
      <xdr:colOff>47625</xdr:colOff>
      <xdr:row>13</xdr:row>
      <xdr:rowOff>190500</xdr:rowOff>
    </xdr:from>
    <xdr:ext cx="1695450" cy="1666875"/>
    <xdr:sp macro="" textlink="">
      <xdr:nvSpPr>
        <xdr:cNvPr id="3" name="Down Arrow 2"/>
        <xdr:cNvSpPr/>
      </xdr:nvSpPr>
      <xdr:spPr>
        <a:xfrm>
          <a:off x="13328015" y="3714750"/>
          <a:ext cx="1696085" cy="2331720"/>
        </a:xfrm>
        <a:prstGeom prst="downArrow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ENTRY</a:t>
          </a:r>
        </a:p>
      </xdr:txBody>
    </xdr:sp>
    <xdr:clientData fLocksWithSheet="0"/>
  </xdr:oneCellAnchor>
  <xdr:oneCellAnchor>
    <xdr:from>
      <xdr:col>2</xdr:col>
      <xdr:colOff>28575</xdr:colOff>
      <xdr:row>23</xdr:row>
      <xdr:rowOff>104775</xdr:rowOff>
    </xdr:from>
    <xdr:ext cx="485775" cy="1409700"/>
    <xdr:sp macro="" textlink="">
      <xdr:nvSpPr>
        <xdr:cNvPr id="5" name="Down Arrow 4"/>
        <xdr:cNvSpPr/>
      </xdr:nvSpPr>
      <xdr:spPr>
        <a:xfrm>
          <a:off x="1235075" y="6724650"/>
          <a:ext cx="488315" cy="1361440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23</xdr:col>
      <xdr:colOff>381000</xdr:colOff>
      <xdr:row>23</xdr:row>
      <xdr:rowOff>66675</xdr:rowOff>
    </xdr:from>
    <xdr:ext cx="495300" cy="1409700"/>
    <xdr:sp macro="" textlink="">
      <xdr:nvSpPr>
        <xdr:cNvPr id="7" name="Down Arrow 6"/>
        <xdr:cNvSpPr/>
      </xdr:nvSpPr>
      <xdr:spPr>
        <a:xfrm>
          <a:off x="14258925" y="6689090"/>
          <a:ext cx="492125" cy="1362075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35</xdr:col>
      <xdr:colOff>647700</xdr:colOff>
      <xdr:row>26</xdr:row>
      <xdr:rowOff>142875</xdr:rowOff>
    </xdr:from>
    <xdr:ext cx="12144375" cy="381000"/>
    <xdr:sp macro="" textlink="">
      <xdr:nvSpPr>
        <xdr:cNvPr id="8" name="Rectangle 7"/>
        <xdr:cNvSpPr/>
      </xdr:nvSpPr>
      <xdr:spPr>
        <a:xfrm>
          <a:off x="1841499" y="7096126"/>
          <a:ext cx="12160250" cy="359351"/>
        </a:xfrm>
        <a:prstGeom prst="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3200"/>
            <a:t>SCREEN</a:t>
          </a:r>
        </a:p>
      </xdr:txBody>
    </xdr:sp>
    <xdr:clientData fLocksWithSheet="0"/>
  </xdr:oneCellAnchor>
  <xdr:oneCellAnchor>
    <xdr:from>
      <xdr:col>55</xdr:col>
      <xdr:colOff>47625</xdr:colOff>
      <xdr:row>13</xdr:row>
      <xdr:rowOff>190500</xdr:rowOff>
    </xdr:from>
    <xdr:ext cx="1685925" cy="1666875"/>
    <xdr:sp macro="" textlink="">
      <xdr:nvSpPr>
        <xdr:cNvPr id="9" name="Down Arrow 8"/>
        <xdr:cNvSpPr/>
      </xdr:nvSpPr>
      <xdr:spPr>
        <a:xfrm>
          <a:off x="13266160" y="3571875"/>
          <a:ext cx="1701078" cy="2255693"/>
        </a:xfrm>
        <a:prstGeom prst="downArrow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ENTRY</a:t>
          </a:r>
        </a:p>
      </xdr:txBody>
    </xdr:sp>
    <xdr:clientData fLocksWithSheet="0"/>
  </xdr:oneCellAnchor>
  <xdr:oneCellAnchor>
    <xdr:from>
      <xdr:col>35</xdr:col>
      <xdr:colOff>28575</xdr:colOff>
      <xdr:row>23</xdr:row>
      <xdr:rowOff>104775</xdr:rowOff>
    </xdr:from>
    <xdr:ext cx="485775" cy="1409700"/>
    <xdr:sp macro="" textlink="">
      <xdr:nvSpPr>
        <xdr:cNvPr id="11" name="Down Arrow 10"/>
        <xdr:cNvSpPr/>
      </xdr:nvSpPr>
      <xdr:spPr>
        <a:xfrm>
          <a:off x="1225550" y="6486525"/>
          <a:ext cx="488949" cy="1352549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56</xdr:col>
      <xdr:colOff>381000</xdr:colOff>
      <xdr:row>23</xdr:row>
      <xdr:rowOff>66675</xdr:rowOff>
    </xdr:from>
    <xdr:ext cx="485775" cy="1409700"/>
    <xdr:sp macro="" textlink="">
      <xdr:nvSpPr>
        <xdr:cNvPr id="12" name="Down Arrow 11"/>
        <xdr:cNvSpPr/>
      </xdr:nvSpPr>
      <xdr:spPr>
        <a:xfrm>
          <a:off x="14192250" y="6451024"/>
          <a:ext cx="501938" cy="1352549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15</xdr:col>
      <xdr:colOff>552450</xdr:colOff>
      <xdr:row>19</xdr:row>
      <xdr:rowOff>276225</xdr:rowOff>
    </xdr:from>
    <xdr:ext cx="46672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552450</xdr:colOff>
      <xdr:row>19</xdr:row>
      <xdr:rowOff>276225</xdr:rowOff>
    </xdr:from>
    <xdr:ext cx="447675" cy="447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26</xdr:row>
      <xdr:rowOff>114300</xdr:rowOff>
    </xdr:from>
    <xdr:ext cx="10048875" cy="400050"/>
    <xdr:sp macro="" textlink="">
      <xdr:nvSpPr>
        <xdr:cNvPr id="2" name="Rectangle 1"/>
        <xdr:cNvSpPr/>
      </xdr:nvSpPr>
      <xdr:spPr>
        <a:xfrm>
          <a:off x="2138680" y="7292975"/>
          <a:ext cx="10052050" cy="390525"/>
        </a:xfrm>
        <a:prstGeom prst="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3200"/>
            <a:t>SCREEN</a:t>
          </a:r>
        </a:p>
      </xdr:txBody>
    </xdr:sp>
    <xdr:clientData fLocksWithSheet="0"/>
  </xdr:oneCellAnchor>
  <xdr:oneCellAnchor>
    <xdr:from>
      <xdr:col>2</xdr:col>
      <xdr:colOff>723900</xdr:colOff>
      <xdr:row>14</xdr:row>
      <xdr:rowOff>0</xdr:rowOff>
    </xdr:from>
    <xdr:ext cx="1695450" cy="1752600"/>
    <xdr:sp macro="" textlink="">
      <xdr:nvSpPr>
        <xdr:cNvPr id="3" name="Down Arrow 2"/>
        <xdr:cNvSpPr/>
      </xdr:nvSpPr>
      <xdr:spPr>
        <a:xfrm>
          <a:off x="1925320" y="3819525"/>
          <a:ext cx="1690370" cy="2329180"/>
        </a:xfrm>
        <a:prstGeom prst="downArrow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ENTRY</a:t>
          </a:r>
        </a:p>
      </xdr:txBody>
    </xdr:sp>
    <xdr:clientData fLocksWithSheet="0"/>
  </xdr:oneCellAnchor>
  <xdr:oneCellAnchor>
    <xdr:from>
      <xdr:col>2</xdr:col>
      <xdr:colOff>285750</xdr:colOff>
      <xdr:row>23</xdr:row>
      <xdr:rowOff>152400</xdr:rowOff>
    </xdr:from>
    <xdr:ext cx="485775" cy="1285875"/>
    <xdr:sp macro="" textlink="">
      <xdr:nvSpPr>
        <xdr:cNvPr id="4" name="Down Arrow 3"/>
        <xdr:cNvSpPr/>
      </xdr:nvSpPr>
      <xdr:spPr>
        <a:xfrm>
          <a:off x="1494790" y="6756400"/>
          <a:ext cx="488950" cy="1224280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21</xdr:col>
      <xdr:colOff>0</xdr:colOff>
      <xdr:row>23</xdr:row>
      <xdr:rowOff>95250</xdr:rowOff>
    </xdr:from>
    <xdr:ext cx="371475" cy="1371600"/>
    <xdr:sp macro="" textlink="">
      <xdr:nvSpPr>
        <xdr:cNvPr id="5" name="Down Arrow 4"/>
        <xdr:cNvSpPr/>
      </xdr:nvSpPr>
      <xdr:spPr>
        <a:xfrm>
          <a:off x="12306300" y="6704330"/>
          <a:ext cx="380365" cy="1310005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31</xdr:col>
      <xdr:colOff>133350</xdr:colOff>
      <xdr:row>26</xdr:row>
      <xdr:rowOff>114300</xdr:rowOff>
    </xdr:from>
    <xdr:ext cx="10544175" cy="400050"/>
    <xdr:sp macro="" textlink="">
      <xdr:nvSpPr>
        <xdr:cNvPr id="8" name="Rectangle 7"/>
        <xdr:cNvSpPr/>
      </xdr:nvSpPr>
      <xdr:spPr>
        <a:xfrm>
          <a:off x="2138797" y="7074477"/>
          <a:ext cx="9990426" cy="381001"/>
        </a:xfrm>
        <a:prstGeom prst="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3200"/>
            <a:t>SCREEN</a:t>
          </a:r>
        </a:p>
      </xdr:txBody>
    </xdr:sp>
    <xdr:clientData fLocksWithSheet="0"/>
  </xdr:oneCellAnchor>
  <xdr:oneCellAnchor>
    <xdr:from>
      <xdr:col>30</xdr:col>
      <xdr:colOff>723900</xdr:colOff>
      <xdr:row>14</xdr:row>
      <xdr:rowOff>0</xdr:rowOff>
    </xdr:from>
    <xdr:ext cx="1495425" cy="1752600"/>
    <xdr:sp macro="" textlink="">
      <xdr:nvSpPr>
        <xdr:cNvPr id="9" name="Down Arrow 8"/>
        <xdr:cNvSpPr/>
      </xdr:nvSpPr>
      <xdr:spPr>
        <a:xfrm>
          <a:off x="1916256" y="3667125"/>
          <a:ext cx="1690255" cy="2281671"/>
        </a:xfrm>
        <a:prstGeom prst="downArrow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ENTRY</a:t>
          </a:r>
        </a:p>
      </xdr:txBody>
    </xdr:sp>
    <xdr:clientData fLocksWithSheet="0"/>
  </xdr:oneCellAnchor>
  <xdr:oneCellAnchor>
    <xdr:from>
      <xdr:col>30</xdr:col>
      <xdr:colOff>285750</xdr:colOff>
      <xdr:row>23</xdr:row>
      <xdr:rowOff>152400</xdr:rowOff>
    </xdr:from>
    <xdr:ext cx="485775" cy="1285875"/>
    <xdr:sp macro="" textlink="">
      <xdr:nvSpPr>
        <xdr:cNvPr id="10" name="Down Arrow 9"/>
        <xdr:cNvSpPr/>
      </xdr:nvSpPr>
      <xdr:spPr>
        <a:xfrm>
          <a:off x="1485322" y="6537613"/>
          <a:ext cx="488949" cy="1214870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49</xdr:col>
      <xdr:colOff>0</xdr:colOff>
      <xdr:row>23</xdr:row>
      <xdr:rowOff>95250</xdr:rowOff>
    </xdr:from>
    <xdr:ext cx="371475" cy="1371600"/>
    <xdr:sp macro="" textlink="">
      <xdr:nvSpPr>
        <xdr:cNvPr id="11" name="Down Arrow 10"/>
        <xdr:cNvSpPr/>
      </xdr:nvSpPr>
      <xdr:spPr>
        <a:xfrm>
          <a:off x="12239625" y="6485659"/>
          <a:ext cx="380999" cy="1300595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19</xdr:col>
      <xdr:colOff>552450</xdr:colOff>
      <xdr:row>19</xdr:row>
      <xdr:rowOff>276225</xdr:rowOff>
    </xdr:from>
    <xdr:ext cx="457200" cy="3810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552450</xdr:colOff>
      <xdr:row>19</xdr:row>
      <xdr:rowOff>276225</xdr:rowOff>
    </xdr:from>
    <xdr:ext cx="447675" cy="4667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27</xdr:row>
      <xdr:rowOff>114300</xdr:rowOff>
    </xdr:from>
    <xdr:ext cx="13763625" cy="447675"/>
    <xdr:sp macro="" textlink="">
      <xdr:nvSpPr>
        <xdr:cNvPr id="2" name="Rectangle 1"/>
        <xdr:cNvSpPr/>
      </xdr:nvSpPr>
      <xdr:spPr>
        <a:xfrm>
          <a:off x="1891030" y="7607300"/>
          <a:ext cx="13766165" cy="442595"/>
        </a:xfrm>
        <a:prstGeom prst="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3200"/>
            <a:t>SCREEN</a:t>
          </a:r>
        </a:p>
      </xdr:txBody>
    </xdr:sp>
    <xdr:clientData fLocksWithSheet="0"/>
  </xdr:oneCellAnchor>
  <xdr:oneCellAnchor>
    <xdr:from>
      <xdr:col>2</xdr:col>
      <xdr:colOff>514350</xdr:colOff>
      <xdr:row>14</xdr:row>
      <xdr:rowOff>171450</xdr:rowOff>
    </xdr:from>
    <xdr:ext cx="1333500" cy="1666875"/>
    <xdr:sp macro="" textlink="">
      <xdr:nvSpPr>
        <xdr:cNvPr id="3" name="Down Arrow 2"/>
        <xdr:cNvSpPr/>
      </xdr:nvSpPr>
      <xdr:spPr>
        <a:xfrm>
          <a:off x="1470025" y="3992245"/>
          <a:ext cx="1332865" cy="2332355"/>
        </a:xfrm>
        <a:prstGeom prst="downArrow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ENTRY</a:t>
          </a:r>
        </a:p>
      </xdr:txBody>
    </xdr:sp>
    <xdr:clientData fLocksWithSheet="0"/>
  </xdr:oneCellAnchor>
  <xdr:oneCellAnchor>
    <xdr:from>
      <xdr:col>2</xdr:col>
      <xdr:colOff>285750</xdr:colOff>
      <xdr:row>24</xdr:row>
      <xdr:rowOff>152400</xdr:rowOff>
    </xdr:from>
    <xdr:ext cx="485775" cy="1285875"/>
    <xdr:sp macro="" textlink="">
      <xdr:nvSpPr>
        <xdr:cNvPr id="4" name="Down Arrow 3"/>
        <xdr:cNvSpPr/>
      </xdr:nvSpPr>
      <xdr:spPr>
        <a:xfrm>
          <a:off x="1247140" y="7070725"/>
          <a:ext cx="488950" cy="1224280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26</xdr:col>
      <xdr:colOff>533400</xdr:colOff>
      <xdr:row>24</xdr:row>
      <xdr:rowOff>95250</xdr:rowOff>
    </xdr:from>
    <xdr:ext cx="447675" cy="1371600"/>
    <xdr:sp macro="" textlink="">
      <xdr:nvSpPr>
        <xdr:cNvPr id="5" name="Down Arrow 4"/>
        <xdr:cNvSpPr/>
      </xdr:nvSpPr>
      <xdr:spPr>
        <a:xfrm>
          <a:off x="15986125" y="7018655"/>
          <a:ext cx="444500" cy="1310005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37</xdr:col>
      <xdr:colOff>133350</xdr:colOff>
      <xdr:row>27</xdr:row>
      <xdr:rowOff>114300</xdr:rowOff>
    </xdr:from>
    <xdr:ext cx="13868400" cy="447675"/>
    <xdr:sp macro="" textlink="">
      <xdr:nvSpPr>
        <xdr:cNvPr id="7" name="Rectangle 6"/>
        <xdr:cNvSpPr/>
      </xdr:nvSpPr>
      <xdr:spPr>
        <a:xfrm>
          <a:off x="1900672" y="7360227"/>
          <a:ext cx="13690022" cy="432955"/>
        </a:xfrm>
        <a:prstGeom prst="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3200"/>
            <a:t>SCREEN</a:t>
          </a:r>
        </a:p>
      </xdr:txBody>
    </xdr:sp>
    <xdr:clientData fLocksWithSheet="0"/>
  </xdr:oneCellAnchor>
  <xdr:oneCellAnchor>
    <xdr:from>
      <xdr:col>36</xdr:col>
      <xdr:colOff>514350</xdr:colOff>
      <xdr:row>14</xdr:row>
      <xdr:rowOff>171450</xdr:rowOff>
    </xdr:from>
    <xdr:ext cx="1133475" cy="1666875"/>
    <xdr:sp macro="" textlink="">
      <xdr:nvSpPr>
        <xdr:cNvPr id="8" name="Down Arrow 7"/>
        <xdr:cNvSpPr/>
      </xdr:nvSpPr>
      <xdr:spPr>
        <a:xfrm>
          <a:off x="1470314" y="3840308"/>
          <a:ext cx="1337398" cy="2255693"/>
        </a:xfrm>
        <a:prstGeom prst="downArrow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ENTRY</a:t>
          </a:r>
        </a:p>
      </xdr:txBody>
    </xdr:sp>
    <xdr:clientData fLocksWithSheet="0"/>
  </xdr:oneCellAnchor>
  <xdr:oneCellAnchor>
    <xdr:from>
      <xdr:col>36</xdr:col>
      <xdr:colOff>285750</xdr:colOff>
      <xdr:row>24</xdr:row>
      <xdr:rowOff>152400</xdr:rowOff>
    </xdr:from>
    <xdr:ext cx="485775" cy="1285875"/>
    <xdr:sp macro="" textlink="">
      <xdr:nvSpPr>
        <xdr:cNvPr id="9" name="Down Arrow 8"/>
        <xdr:cNvSpPr/>
      </xdr:nvSpPr>
      <xdr:spPr>
        <a:xfrm>
          <a:off x="1247197" y="6823363"/>
          <a:ext cx="488949" cy="1214870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60</xdr:col>
      <xdr:colOff>533400</xdr:colOff>
      <xdr:row>24</xdr:row>
      <xdr:rowOff>95250</xdr:rowOff>
    </xdr:from>
    <xdr:ext cx="447675" cy="1371600"/>
    <xdr:sp macro="" textlink="">
      <xdr:nvSpPr>
        <xdr:cNvPr id="10" name="Down Arrow 9"/>
        <xdr:cNvSpPr/>
      </xdr:nvSpPr>
      <xdr:spPr>
        <a:xfrm>
          <a:off x="15919740" y="6771409"/>
          <a:ext cx="439448" cy="1300595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457200" cy="4667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0</xdr:colOff>
      <xdr:row>21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26</xdr:row>
      <xdr:rowOff>142875</xdr:rowOff>
    </xdr:from>
    <xdr:ext cx="14020800" cy="381000"/>
    <xdr:sp macro="" textlink="">
      <xdr:nvSpPr>
        <xdr:cNvPr id="2" name="Rectangle 1"/>
        <xdr:cNvSpPr/>
      </xdr:nvSpPr>
      <xdr:spPr>
        <a:xfrm>
          <a:off x="1850390" y="7334250"/>
          <a:ext cx="14017625" cy="368300"/>
        </a:xfrm>
        <a:prstGeom prst="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3200"/>
            <a:t>SCREEN</a:t>
          </a:r>
        </a:p>
      </xdr:txBody>
    </xdr:sp>
    <xdr:clientData fLocksWithSheet="0"/>
  </xdr:oneCellAnchor>
  <xdr:oneCellAnchor>
    <xdr:from>
      <xdr:col>24</xdr:col>
      <xdr:colOff>47625</xdr:colOff>
      <xdr:row>13</xdr:row>
      <xdr:rowOff>190500</xdr:rowOff>
    </xdr:from>
    <xdr:ext cx="1809750" cy="1666875"/>
    <xdr:sp macro="" textlink="">
      <xdr:nvSpPr>
        <xdr:cNvPr id="3" name="Down Arrow 2"/>
        <xdr:cNvSpPr/>
      </xdr:nvSpPr>
      <xdr:spPr>
        <a:xfrm>
          <a:off x="14528165" y="3714750"/>
          <a:ext cx="1811020" cy="2331720"/>
        </a:xfrm>
        <a:prstGeom prst="downArrow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ENTRY</a:t>
          </a:r>
        </a:p>
      </xdr:txBody>
    </xdr:sp>
    <xdr:clientData fLocksWithSheet="0"/>
  </xdr:oneCellAnchor>
  <xdr:oneCellAnchor>
    <xdr:from>
      <xdr:col>2</xdr:col>
      <xdr:colOff>28575</xdr:colOff>
      <xdr:row>23</xdr:row>
      <xdr:rowOff>104775</xdr:rowOff>
    </xdr:from>
    <xdr:ext cx="485775" cy="1409700"/>
    <xdr:sp macro="" textlink="">
      <xdr:nvSpPr>
        <xdr:cNvPr id="4" name="Down Arrow 3"/>
        <xdr:cNvSpPr/>
      </xdr:nvSpPr>
      <xdr:spPr>
        <a:xfrm>
          <a:off x="1235075" y="6724650"/>
          <a:ext cx="488315" cy="1361440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26</xdr:col>
      <xdr:colOff>304800</xdr:colOff>
      <xdr:row>24</xdr:row>
      <xdr:rowOff>95250</xdr:rowOff>
    </xdr:from>
    <xdr:ext cx="495300" cy="1409700"/>
    <xdr:sp macro="" textlink="">
      <xdr:nvSpPr>
        <xdr:cNvPr id="5" name="Down Arrow 4"/>
        <xdr:cNvSpPr/>
      </xdr:nvSpPr>
      <xdr:spPr>
        <a:xfrm>
          <a:off x="15989300" y="6913880"/>
          <a:ext cx="492760" cy="1362075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37</xdr:col>
      <xdr:colOff>647700</xdr:colOff>
      <xdr:row>26</xdr:row>
      <xdr:rowOff>142875</xdr:rowOff>
    </xdr:from>
    <xdr:ext cx="13944600" cy="381000"/>
    <xdr:sp macro="" textlink="">
      <xdr:nvSpPr>
        <xdr:cNvPr id="7" name="Rectangle 6"/>
        <xdr:cNvSpPr/>
      </xdr:nvSpPr>
      <xdr:spPr>
        <a:xfrm>
          <a:off x="1841499" y="7096126"/>
          <a:ext cx="13946188" cy="359351"/>
        </a:xfrm>
        <a:prstGeom prst="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3200"/>
            <a:t>SCREEN</a:t>
          </a:r>
        </a:p>
      </xdr:txBody>
    </xdr:sp>
    <xdr:clientData fLocksWithSheet="0"/>
  </xdr:oneCellAnchor>
  <xdr:oneCellAnchor>
    <xdr:from>
      <xdr:col>59</xdr:col>
      <xdr:colOff>47625</xdr:colOff>
      <xdr:row>13</xdr:row>
      <xdr:rowOff>190500</xdr:rowOff>
    </xdr:from>
    <xdr:ext cx="1800225" cy="1666875"/>
    <xdr:sp macro="" textlink="">
      <xdr:nvSpPr>
        <xdr:cNvPr id="8" name="Down Arrow 7"/>
        <xdr:cNvSpPr/>
      </xdr:nvSpPr>
      <xdr:spPr>
        <a:xfrm>
          <a:off x="14456785" y="3571875"/>
          <a:ext cx="1811483" cy="2255693"/>
        </a:xfrm>
        <a:prstGeom prst="downArrow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ENTRY</a:t>
          </a:r>
        </a:p>
      </xdr:txBody>
    </xdr:sp>
    <xdr:clientData fLocksWithSheet="0"/>
  </xdr:oneCellAnchor>
  <xdr:oneCellAnchor>
    <xdr:from>
      <xdr:col>37</xdr:col>
      <xdr:colOff>28575</xdr:colOff>
      <xdr:row>23</xdr:row>
      <xdr:rowOff>104775</xdr:rowOff>
    </xdr:from>
    <xdr:ext cx="485775" cy="1409700"/>
    <xdr:sp macro="" textlink="">
      <xdr:nvSpPr>
        <xdr:cNvPr id="9" name="Down Arrow 8"/>
        <xdr:cNvSpPr/>
      </xdr:nvSpPr>
      <xdr:spPr>
        <a:xfrm>
          <a:off x="1225550" y="6486525"/>
          <a:ext cx="488949" cy="1352549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61</xdr:col>
      <xdr:colOff>304800</xdr:colOff>
      <xdr:row>24</xdr:row>
      <xdr:rowOff>95250</xdr:rowOff>
    </xdr:from>
    <xdr:ext cx="485775" cy="1409700"/>
    <xdr:sp macro="" textlink="">
      <xdr:nvSpPr>
        <xdr:cNvPr id="10" name="Down Arrow 9"/>
        <xdr:cNvSpPr/>
      </xdr:nvSpPr>
      <xdr:spPr>
        <a:xfrm>
          <a:off x="15908915" y="6676160"/>
          <a:ext cx="501938" cy="1352549"/>
        </a:xfrm>
        <a:prstGeom prst="downArrow">
          <a:avLst/>
        </a:prstGeom>
        <a:solidFill>
          <a:schemeClr val="accent3"/>
        </a:solidFill>
        <a:ln cap="flat" cmpd="sng" w="38100" algn="ctr">
          <a:solidFill>
            <a:schemeClr val="lt1"/>
          </a:solidFill>
          <a:prstDash val="solid"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anchor="ctr" rtlCol="0"/>
        <a:lstStyle/>
        <a:p>
          <a:pPr lvl="0" algn="ctr"/>
          <a:r>
            <a:rPr lang="en-IN" sz="1100"/>
            <a:t>EXIT</a:t>
          </a:r>
        </a:p>
      </xdr:txBody>
    </xdr:sp>
    <xdr:clientData fLocksWithSheet="0"/>
  </xdr:oneCellAnchor>
  <xdr:oneCellAnchor>
    <xdr:from>
      <xdr:col>3</xdr:col>
      <xdr:colOff>0</xdr:colOff>
      <xdr:row>19</xdr:row>
      <xdr:rowOff>276225</xdr:rowOff>
    </xdr:from>
    <xdr:ext cx="457200" cy="3810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19</xdr:row>
      <xdr:rowOff>276225</xdr:rowOff>
    </xdr:from>
    <xdr:ext cx="457200" cy="4476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9.0"/>
    <col customWidth="1" min="3" max="3" width="12.0"/>
    <col customWidth="1" min="4" max="6" width="9.0"/>
    <col customWidth="1" min="7" max="7" width="8.14"/>
    <col customWidth="1" min="8" max="8" width="8.29"/>
    <col customWidth="1" min="9" max="12" width="9.0"/>
    <col customWidth="1" min="13" max="14" width="8.86"/>
    <col customWidth="1" min="15" max="23" width="9.0"/>
    <col customWidth="1" min="24" max="25" width="9.14"/>
    <col customWidth="1" min="26" max="26" width="9.0"/>
    <col customWidth="1" min="27" max="27" width="28.0"/>
    <col customWidth="1" min="28" max="28" width="21.86"/>
    <col customWidth="1" min="29" max="29" width="11.0"/>
    <col customWidth="1" min="30" max="59" width="9.0"/>
    <col customWidth="1" min="60" max="60" width="28.86"/>
    <col customWidth="1" min="61" max="63" width="9.0"/>
  </cols>
  <sheetData>
    <row r="1">
      <c r="X1" s="1"/>
      <c r="Y1" s="1"/>
      <c r="AA1" s="2"/>
      <c r="BE1" s="1"/>
      <c r="BF1" s="1"/>
      <c r="BH1" s="2"/>
    </row>
    <row r="2">
      <c r="X2" s="1"/>
      <c r="Y2" s="1"/>
      <c r="AA2" s="2"/>
      <c r="BE2" s="1"/>
      <c r="BF2" s="1"/>
      <c r="BH2" s="2"/>
    </row>
    <row r="3">
      <c r="I3" s="3" t="s">
        <v>0</v>
      </c>
      <c r="J3" s="4"/>
      <c r="K3" s="4"/>
      <c r="L3" s="4"/>
      <c r="M3" s="4"/>
      <c r="N3" s="4"/>
      <c r="O3" s="4"/>
      <c r="P3" s="4"/>
      <c r="Q3" s="4"/>
      <c r="R3" s="4"/>
      <c r="S3" s="4"/>
      <c r="T3" s="5"/>
      <c r="X3" s="1"/>
      <c r="Y3" s="1"/>
      <c r="AA3" s="2"/>
      <c r="AP3" s="3" t="s">
        <v>1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5"/>
      <c r="BE3" s="1"/>
      <c r="BF3" s="1"/>
      <c r="BH3" s="2"/>
    </row>
    <row r="4">
      <c r="K4" s="6"/>
      <c r="L4" s="6"/>
      <c r="M4" s="6"/>
      <c r="N4" s="6"/>
      <c r="X4" s="1"/>
      <c r="Y4" s="1"/>
      <c r="AA4" s="2"/>
      <c r="AR4" s="6"/>
      <c r="AS4" s="6"/>
      <c r="AT4" s="6"/>
      <c r="AU4" s="6"/>
      <c r="BE4" s="1"/>
      <c r="BF4" s="1"/>
      <c r="BH4" s="2"/>
    </row>
    <row r="5"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AA5" s="10" t="s">
        <v>2</v>
      </c>
      <c r="AB5" s="10">
        <v>16.0</v>
      </c>
      <c r="AC5" s="11"/>
      <c r="AD5" s="11"/>
      <c r="AJ5" s="7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9"/>
      <c r="BH5" s="10" t="s">
        <v>2</v>
      </c>
      <c r="BI5" s="10">
        <v>16.0</v>
      </c>
      <c r="BJ5" s="11"/>
      <c r="BK5" s="11"/>
    </row>
    <row r="6">
      <c r="B6" s="12" t="s">
        <v>3</v>
      </c>
      <c r="C6" s="13"/>
      <c r="D6" s="14">
        <v>1.0</v>
      </c>
      <c r="E6" s="15"/>
      <c r="F6" s="14">
        <v>2.0</v>
      </c>
      <c r="G6" s="15"/>
      <c r="H6" s="16">
        <v>3.0</v>
      </c>
      <c r="I6" s="16">
        <v>4.0</v>
      </c>
      <c r="J6" s="16">
        <v>5.0</v>
      </c>
      <c r="K6" s="16">
        <v>6.0</v>
      </c>
      <c r="L6" s="14">
        <v>7.0</v>
      </c>
      <c r="M6" s="15"/>
      <c r="N6" s="16">
        <v>8.0</v>
      </c>
      <c r="O6" s="16">
        <v>9.0</v>
      </c>
      <c r="P6" s="16">
        <v>10.0</v>
      </c>
      <c r="Q6" s="14">
        <v>11.0</v>
      </c>
      <c r="R6" s="15"/>
      <c r="S6" s="16">
        <v>12.0</v>
      </c>
      <c r="T6" s="16">
        <v>13.0</v>
      </c>
      <c r="U6" s="16">
        <v>14.0</v>
      </c>
      <c r="V6" s="16">
        <v>15.0</v>
      </c>
      <c r="W6" s="14">
        <v>16.0</v>
      </c>
      <c r="X6" s="15"/>
      <c r="Y6" s="17"/>
      <c r="Z6" s="12" t="str">
        <f>B6</f>
        <v>Q</v>
      </c>
      <c r="AA6" s="10" t="s">
        <v>4</v>
      </c>
      <c r="AB6" s="10">
        <v>249.0</v>
      </c>
      <c r="AC6" s="11"/>
      <c r="AD6" s="11"/>
      <c r="AI6" s="12" t="s">
        <v>3</v>
      </c>
      <c r="AJ6" s="13"/>
      <c r="AK6" s="14">
        <v>1.0</v>
      </c>
      <c r="AL6" s="15"/>
      <c r="AM6" s="14">
        <v>2.0</v>
      </c>
      <c r="AN6" s="15"/>
      <c r="AO6" s="16">
        <v>3.0</v>
      </c>
      <c r="AP6" s="16">
        <v>4.0</v>
      </c>
      <c r="AQ6" s="16">
        <v>5.0</v>
      </c>
      <c r="AR6" s="16">
        <v>6.0</v>
      </c>
      <c r="AS6" s="14">
        <v>7.0</v>
      </c>
      <c r="AT6" s="15"/>
      <c r="AU6" s="16">
        <v>8.0</v>
      </c>
      <c r="AV6" s="16">
        <v>9.0</v>
      </c>
      <c r="AW6" s="16">
        <v>10.0</v>
      </c>
      <c r="AX6" s="14">
        <v>11.0</v>
      </c>
      <c r="AY6" s="15"/>
      <c r="AZ6" s="16">
        <v>12.0</v>
      </c>
      <c r="BA6" s="16">
        <v>13.0</v>
      </c>
      <c r="BB6" s="16">
        <v>14.0</v>
      </c>
      <c r="BC6" s="16">
        <v>15.0</v>
      </c>
      <c r="BD6" s="14">
        <v>16.0</v>
      </c>
      <c r="BE6" s="15"/>
      <c r="BF6" s="17"/>
      <c r="BG6" s="12" t="str">
        <f>AI6</f>
        <v>Q</v>
      </c>
      <c r="BH6" s="10" t="s">
        <v>4</v>
      </c>
      <c r="BI6" s="10">
        <v>249.0</v>
      </c>
      <c r="BJ6" s="11"/>
      <c r="BK6" s="11"/>
    </row>
    <row r="7">
      <c r="A7" s="1"/>
      <c r="B7" s="12"/>
      <c r="C7" s="1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7"/>
      <c r="Z7" s="12"/>
      <c r="AA7" s="10" t="s">
        <v>5</v>
      </c>
      <c r="AB7" s="10" t="str">
        <f>+AB5+AB6</f>
        <v>265</v>
      </c>
      <c r="AC7" s="11"/>
      <c r="AD7" s="11"/>
      <c r="AE7" s="1"/>
      <c r="AF7" s="1"/>
      <c r="AG7" s="1"/>
      <c r="AH7" s="1"/>
      <c r="AI7" s="12"/>
      <c r="AJ7" s="13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7"/>
      <c r="BG7" s="12"/>
      <c r="BH7" s="10" t="s">
        <v>5</v>
      </c>
      <c r="BI7" s="10" t="str">
        <f>+BI5+BI6</f>
        <v>265</v>
      </c>
      <c r="BJ7" s="11"/>
      <c r="BK7" s="11"/>
    </row>
    <row r="8">
      <c r="A8" s="18" t="s">
        <v>6</v>
      </c>
      <c r="B8" s="12" t="s">
        <v>7</v>
      </c>
      <c r="C8" s="13"/>
      <c r="D8" s="19">
        <v>1.0</v>
      </c>
      <c r="E8" s="19">
        <v>2.0</v>
      </c>
      <c r="F8" s="19">
        <v>3.0</v>
      </c>
      <c r="G8" s="19">
        <v>4.0</v>
      </c>
      <c r="H8" s="19">
        <v>5.0</v>
      </c>
      <c r="I8" s="19">
        <v>6.0</v>
      </c>
      <c r="J8" s="19">
        <v>7.0</v>
      </c>
      <c r="K8" s="19">
        <v>8.0</v>
      </c>
      <c r="L8" s="19">
        <v>9.0</v>
      </c>
      <c r="M8" s="19">
        <v>10.0</v>
      </c>
      <c r="N8" s="19">
        <v>11.0</v>
      </c>
      <c r="O8" s="19">
        <v>12.0</v>
      </c>
      <c r="P8" s="19">
        <v>13.0</v>
      </c>
      <c r="Q8" s="19">
        <v>14.0</v>
      </c>
      <c r="R8" s="12"/>
      <c r="S8" s="12"/>
      <c r="T8" s="19">
        <v>15.0</v>
      </c>
      <c r="U8" s="19">
        <v>16.0</v>
      </c>
      <c r="V8" s="19">
        <v>17.0</v>
      </c>
      <c r="W8" s="19">
        <v>18.0</v>
      </c>
      <c r="X8" s="19">
        <v>19.0</v>
      </c>
      <c r="Y8" s="17"/>
      <c r="Z8" s="12" t="str">
        <f t="shared" ref="Z8:Z21" si="1">B8</f>
        <v>P</v>
      </c>
      <c r="AA8" s="20"/>
      <c r="AB8" s="11"/>
      <c r="AC8" s="11"/>
      <c r="AD8" s="11"/>
      <c r="AH8" s="18" t="s">
        <v>6</v>
      </c>
      <c r="AI8" s="12" t="s">
        <v>7</v>
      </c>
      <c r="AJ8" s="13"/>
      <c r="AK8" s="19">
        <v>1.0</v>
      </c>
      <c r="AL8" s="19">
        <v>2.0</v>
      </c>
      <c r="AM8" s="19">
        <v>3.0</v>
      </c>
      <c r="AN8" s="19">
        <v>4.0</v>
      </c>
      <c r="AO8" s="19">
        <v>5.0</v>
      </c>
      <c r="AP8" s="19">
        <v>6.0</v>
      </c>
      <c r="AQ8" s="19">
        <v>7.0</v>
      </c>
      <c r="AR8" s="19">
        <v>8.0</v>
      </c>
      <c r="AS8" s="19">
        <v>9.0</v>
      </c>
      <c r="AT8" s="19">
        <v>10.0</v>
      </c>
      <c r="AU8" s="19">
        <v>11.0</v>
      </c>
      <c r="AV8" s="19">
        <v>12.0</v>
      </c>
      <c r="AW8" s="19">
        <v>13.0</v>
      </c>
      <c r="AX8" s="19">
        <v>14.0</v>
      </c>
      <c r="AY8" s="12"/>
      <c r="AZ8" s="12"/>
      <c r="BA8" s="19">
        <v>15.0</v>
      </c>
      <c r="BB8" s="19">
        <v>16.0</v>
      </c>
      <c r="BC8" s="19">
        <v>17.0</v>
      </c>
      <c r="BD8" s="19">
        <v>18.0</v>
      </c>
      <c r="BE8" s="19">
        <v>19.0</v>
      </c>
      <c r="BF8" s="17"/>
      <c r="BG8" s="12" t="str">
        <f t="shared" ref="BG8:BG21" si="2">AI8</f>
        <v>P</v>
      </c>
      <c r="BH8" s="20"/>
      <c r="BI8" s="11"/>
      <c r="BJ8" s="11"/>
      <c r="BK8" s="11"/>
    </row>
    <row r="9">
      <c r="A9" s="18" t="s">
        <v>6</v>
      </c>
      <c r="B9" s="12" t="s">
        <v>8</v>
      </c>
      <c r="C9" s="13"/>
      <c r="D9" s="21">
        <v>1.0</v>
      </c>
      <c r="E9" s="21">
        <v>2.0</v>
      </c>
      <c r="F9" s="21">
        <v>3.0</v>
      </c>
      <c r="G9" s="21">
        <v>4.0</v>
      </c>
      <c r="H9" s="21">
        <v>5.0</v>
      </c>
      <c r="I9" s="21">
        <v>6.0</v>
      </c>
      <c r="J9" s="21">
        <v>7.0</v>
      </c>
      <c r="K9" s="21">
        <v>8.0</v>
      </c>
      <c r="L9" s="21">
        <v>9.0</v>
      </c>
      <c r="M9" s="21">
        <v>10.0</v>
      </c>
      <c r="N9" s="21">
        <v>11.0</v>
      </c>
      <c r="O9" s="21">
        <v>12.0</v>
      </c>
      <c r="P9" s="21">
        <v>13.0</v>
      </c>
      <c r="Q9" s="21">
        <v>14.0</v>
      </c>
      <c r="R9" s="12"/>
      <c r="S9" s="12"/>
      <c r="T9" s="21">
        <v>15.0</v>
      </c>
      <c r="U9" s="21">
        <v>16.0</v>
      </c>
      <c r="V9" s="21">
        <v>17.0</v>
      </c>
      <c r="W9" s="21">
        <v>18.0</v>
      </c>
      <c r="X9" s="21">
        <v>19.0</v>
      </c>
      <c r="Y9" s="17"/>
      <c r="Z9" s="12" t="str">
        <f t="shared" si="1"/>
        <v>N</v>
      </c>
      <c r="AA9" s="22" t="s">
        <v>9</v>
      </c>
      <c r="AB9" s="23">
        <v>33.0</v>
      </c>
      <c r="AC9" s="24" t="str">
        <f>+AB9/AB12</f>
        <v>12%</v>
      </c>
      <c r="AD9" s="11"/>
      <c r="AH9" s="18" t="s">
        <v>6</v>
      </c>
      <c r="AI9" s="12" t="s">
        <v>8</v>
      </c>
      <c r="AJ9" s="13"/>
      <c r="AK9" s="21">
        <v>1.0</v>
      </c>
      <c r="AL9" s="21">
        <v>2.0</v>
      </c>
      <c r="AM9" s="21">
        <v>3.0</v>
      </c>
      <c r="AN9" s="21">
        <v>4.0</v>
      </c>
      <c r="AO9" s="21">
        <v>5.0</v>
      </c>
      <c r="AP9" s="21">
        <v>6.0</v>
      </c>
      <c r="AQ9" s="21">
        <v>7.0</v>
      </c>
      <c r="AR9" s="21">
        <v>8.0</v>
      </c>
      <c r="AS9" s="21">
        <v>9.0</v>
      </c>
      <c r="AT9" s="21">
        <v>10.0</v>
      </c>
      <c r="AU9" s="21">
        <v>11.0</v>
      </c>
      <c r="AV9" s="21">
        <v>12.0</v>
      </c>
      <c r="AW9" s="21">
        <v>13.0</v>
      </c>
      <c r="AX9" s="21">
        <v>14.0</v>
      </c>
      <c r="AY9" s="12"/>
      <c r="AZ9" s="12"/>
      <c r="BA9" s="21">
        <v>15.0</v>
      </c>
      <c r="BB9" s="21">
        <v>16.0</v>
      </c>
      <c r="BC9" s="21">
        <v>17.0</v>
      </c>
      <c r="BD9" s="21">
        <v>18.0</v>
      </c>
      <c r="BE9" s="21">
        <v>19.0</v>
      </c>
      <c r="BF9" s="17"/>
      <c r="BG9" s="12" t="str">
        <f t="shared" si="2"/>
        <v>N</v>
      </c>
      <c r="BH9" s="22" t="s">
        <v>10</v>
      </c>
      <c r="BI9" s="23">
        <v>33.0</v>
      </c>
      <c r="BJ9" s="24" t="str">
        <f>+BI9/BI12</f>
        <v>12%</v>
      </c>
      <c r="BK9" s="11"/>
    </row>
    <row r="10">
      <c r="A10" s="18" t="s">
        <v>6</v>
      </c>
      <c r="B10" s="12" t="s">
        <v>11</v>
      </c>
      <c r="C10" s="13"/>
      <c r="D10" s="19">
        <v>1.0</v>
      </c>
      <c r="E10" s="19">
        <v>2.0</v>
      </c>
      <c r="F10" s="19">
        <v>3.0</v>
      </c>
      <c r="G10" s="19">
        <v>4.0</v>
      </c>
      <c r="H10" s="19">
        <v>5.0</v>
      </c>
      <c r="I10" s="19">
        <v>6.0</v>
      </c>
      <c r="J10" s="19">
        <v>7.0</v>
      </c>
      <c r="K10" s="19">
        <v>8.0</v>
      </c>
      <c r="L10" s="19">
        <v>9.0</v>
      </c>
      <c r="M10" s="19">
        <v>10.0</v>
      </c>
      <c r="N10" s="19">
        <v>11.0</v>
      </c>
      <c r="O10" s="19">
        <v>12.0</v>
      </c>
      <c r="P10" s="19">
        <v>13.0</v>
      </c>
      <c r="Q10" s="19">
        <v>14.0</v>
      </c>
      <c r="R10" s="12"/>
      <c r="S10" s="12"/>
      <c r="T10" s="19">
        <v>15.0</v>
      </c>
      <c r="U10" s="19">
        <v>16.0</v>
      </c>
      <c r="V10" s="19">
        <v>17.0</v>
      </c>
      <c r="W10" s="19">
        <v>18.0</v>
      </c>
      <c r="X10" s="19">
        <v>19.0</v>
      </c>
      <c r="Y10" s="17"/>
      <c r="Z10" s="12" t="str">
        <f t="shared" si="1"/>
        <v>M</v>
      </c>
      <c r="AA10" s="25" t="s">
        <v>12</v>
      </c>
      <c r="AB10" s="23">
        <v>216.0</v>
      </c>
      <c r="AC10" s="24" t="str">
        <f>+AB10/AB12</f>
        <v>82%</v>
      </c>
      <c r="AD10" s="11"/>
      <c r="AH10" s="18" t="s">
        <v>6</v>
      </c>
      <c r="AI10" s="12" t="s">
        <v>11</v>
      </c>
      <c r="AJ10" s="13"/>
      <c r="AK10" s="19">
        <v>1.0</v>
      </c>
      <c r="AL10" s="19">
        <v>2.0</v>
      </c>
      <c r="AM10" s="19">
        <v>3.0</v>
      </c>
      <c r="AN10" s="19">
        <v>4.0</v>
      </c>
      <c r="AO10" s="19">
        <v>5.0</v>
      </c>
      <c r="AP10" s="19">
        <v>6.0</v>
      </c>
      <c r="AQ10" s="19">
        <v>7.0</v>
      </c>
      <c r="AR10" s="19">
        <v>8.0</v>
      </c>
      <c r="AS10" s="19">
        <v>9.0</v>
      </c>
      <c r="AT10" s="19">
        <v>10.0</v>
      </c>
      <c r="AU10" s="19">
        <v>11.0</v>
      </c>
      <c r="AV10" s="19">
        <v>12.0</v>
      </c>
      <c r="AW10" s="19">
        <v>13.0</v>
      </c>
      <c r="AX10" s="19">
        <v>14.0</v>
      </c>
      <c r="AY10" s="12"/>
      <c r="AZ10" s="12"/>
      <c r="BA10" s="19">
        <v>15.0</v>
      </c>
      <c r="BB10" s="19">
        <v>16.0</v>
      </c>
      <c r="BC10" s="19">
        <v>17.0</v>
      </c>
      <c r="BD10" s="19">
        <v>18.0</v>
      </c>
      <c r="BE10" s="19">
        <v>19.0</v>
      </c>
      <c r="BF10" s="17"/>
      <c r="BG10" s="12" t="str">
        <f t="shared" si="2"/>
        <v>M</v>
      </c>
      <c r="BH10" s="25" t="s">
        <v>13</v>
      </c>
      <c r="BI10" s="23">
        <v>216.0</v>
      </c>
      <c r="BJ10" s="24" t="str">
        <f>+BI10/BI12</f>
        <v>82%</v>
      </c>
      <c r="BK10" s="11"/>
    </row>
    <row r="11" ht="36.75" customHeight="1">
      <c r="A11" s="18" t="s">
        <v>6</v>
      </c>
      <c r="B11" s="12" t="s">
        <v>14</v>
      </c>
      <c r="C11" s="13"/>
      <c r="D11" s="19">
        <v>1.0</v>
      </c>
      <c r="E11" s="19">
        <v>2.0</v>
      </c>
      <c r="F11" s="19">
        <v>3.0</v>
      </c>
      <c r="G11" s="19">
        <v>4.0</v>
      </c>
      <c r="H11" s="19">
        <v>5.0</v>
      </c>
      <c r="I11" s="19">
        <v>6.0</v>
      </c>
      <c r="J11" s="19">
        <v>7.0</v>
      </c>
      <c r="K11" s="19">
        <v>8.0</v>
      </c>
      <c r="L11" s="19">
        <v>9.0</v>
      </c>
      <c r="M11" s="19">
        <v>10.0</v>
      </c>
      <c r="N11" s="19">
        <v>11.0</v>
      </c>
      <c r="O11" s="19">
        <v>12.0</v>
      </c>
      <c r="P11" s="19">
        <v>13.0</v>
      </c>
      <c r="Q11" s="19">
        <v>14.0</v>
      </c>
      <c r="R11" s="12"/>
      <c r="S11" s="12"/>
      <c r="T11" s="19">
        <v>15.0</v>
      </c>
      <c r="U11" s="19">
        <v>16.0</v>
      </c>
      <c r="V11" s="19">
        <v>17.0</v>
      </c>
      <c r="W11" s="19">
        <v>18.0</v>
      </c>
      <c r="X11" s="19">
        <v>19.0</v>
      </c>
      <c r="Y11" s="17"/>
      <c r="Z11" s="12" t="str">
        <f t="shared" si="1"/>
        <v>L</v>
      </c>
      <c r="AA11" s="26" t="s">
        <v>15</v>
      </c>
      <c r="AB11" s="23">
        <v>16.0</v>
      </c>
      <c r="AC11" s="24" t="str">
        <f>+AB11/AB12</f>
        <v>6%</v>
      </c>
      <c r="AD11" s="11"/>
      <c r="AH11" s="18" t="s">
        <v>6</v>
      </c>
      <c r="AI11" s="12" t="s">
        <v>14</v>
      </c>
      <c r="AJ11" s="13"/>
      <c r="AK11" s="19">
        <v>1.0</v>
      </c>
      <c r="AL11" s="19">
        <v>2.0</v>
      </c>
      <c r="AM11" s="19">
        <v>3.0</v>
      </c>
      <c r="AN11" s="19">
        <v>4.0</v>
      </c>
      <c r="AO11" s="19">
        <v>5.0</v>
      </c>
      <c r="AP11" s="19">
        <v>6.0</v>
      </c>
      <c r="AQ11" s="19">
        <v>7.0</v>
      </c>
      <c r="AR11" s="19">
        <v>8.0</v>
      </c>
      <c r="AS11" s="19">
        <v>9.0</v>
      </c>
      <c r="AT11" s="19">
        <v>10.0</v>
      </c>
      <c r="AU11" s="19">
        <v>11.0</v>
      </c>
      <c r="AV11" s="19">
        <v>12.0</v>
      </c>
      <c r="AW11" s="19">
        <v>13.0</v>
      </c>
      <c r="AX11" s="19">
        <v>14.0</v>
      </c>
      <c r="AY11" s="12"/>
      <c r="AZ11" s="12"/>
      <c r="BA11" s="19">
        <v>15.0</v>
      </c>
      <c r="BB11" s="19">
        <v>16.0</v>
      </c>
      <c r="BC11" s="19">
        <v>17.0</v>
      </c>
      <c r="BD11" s="19">
        <v>18.0</v>
      </c>
      <c r="BE11" s="19">
        <v>19.0</v>
      </c>
      <c r="BF11" s="17"/>
      <c r="BG11" s="12" t="str">
        <f t="shared" si="2"/>
        <v>L</v>
      </c>
      <c r="BH11" s="26" t="s">
        <v>16</v>
      </c>
      <c r="BI11" s="23">
        <v>16.0</v>
      </c>
      <c r="BJ11" s="24" t="str">
        <f>+BI11/BI12</f>
        <v>6%</v>
      </c>
      <c r="BK11" s="11"/>
    </row>
    <row r="12" ht="24.0" customHeight="1">
      <c r="A12" s="1" t="s">
        <v>17</v>
      </c>
      <c r="B12" s="12" t="s">
        <v>18</v>
      </c>
      <c r="C12" s="13"/>
      <c r="D12" s="19">
        <v>1.0</v>
      </c>
      <c r="E12" s="19">
        <v>2.0</v>
      </c>
      <c r="F12" s="19">
        <v>3.0</v>
      </c>
      <c r="G12" s="19">
        <v>4.0</v>
      </c>
      <c r="H12" s="19">
        <v>5.0</v>
      </c>
      <c r="I12" s="19">
        <v>6.0</v>
      </c>
      <c r="J12" s="19">
        <v>7.0</v>
      </c>
      <c r="K12" s="19">
        <v>8.0</v>
      </c>
      <c r="L12" s="19">
        <v>9.0</v>
      </c>
      <c r="M12" s="19">
        <v>10.0</v>
      </c>
      <c r="N12" s="19">
        <v>11.0</v>
      </c>
      <c r="O12" s="19">
        <v>12.0</v>
      </c>
      <c r="P12" s="19">
        <v>13.0</v>
      </c>
      <c r="Q12" s="19">
        <v>14.0</v>
      </c>
      <c r="R12" s="12"/>
      <c r="S12" s="12"/>
      <c r="T12" s="19">
        <v>15.0</v>
      </c>
      <c r="U12" s="19">
        <v>16.0</v>
      </c>
      <c r="V12" s="19">
        <v>17.0</v>
      </c>
      <c r="W12" s="27">
        <v>18.0</v>
      </c>
      <c r="X12" s="19">
        <v>19.0</v>
      </c>
      <c r="Y12" s="17"/>
      <c r="Z12" s="12" t="str">
        <f t="shared" si="1"/>
        <v>K</v>
      </c>
      <c r="AA12" s="28" t="s">
        <v>19</v>
      </c>
      <c r="AB12" s="29" t="str">
        <f t="shared" ref="AB12:AC12" si="3">SUM(AB9:AB11)</f>
        <v>265</v>
      </c>
      <c r="AC12" s="30" t="str">
        <f t="shared" si="3"/>
        <v>100%</v>
      </c>
      <c r="AD12" s="11"/>
      <c r="AH12" s="1" t="s">
        <v>17</v>
      </c>
      <c r="AI12" s="12" t="s">
        <v>18</v>
      </c>
      <c r="AJ12" s="13"/>
      <c r="AK12" s="19">
        <v>1.0</v>
      </c>
      <c r="AL12" s="19">
        <v>2.0</v>
      </c>
      <c r="AM12" s="19">
        <v>3.0</v>
      </c>
      <c r="AN12" s="19">
        <v>4.0</v>
      </c>
      <c r="AO12" s="19">
        <v>5.0</v>
      </c>
      <c r="AP12" s="19">
        <v>6.0</v>
      </c>
      <c r="AQ12" s="19">
        <v>7.0</v>
      </c>
      <c r="AR12" s="19">
        <v>8.0</v>
      </c>
      <c r="AS12" s="19">
        <v>9.0</v>
      </c>
      <c r="AT12" s="19">
        <v>10.0</v>
      </c>
      <c r="AU12" s="19">
        <v>11.0</v>
      </c>
      <c r="AV12" s="19">
        <v>12.0</v>
      </c>
      <c r="AW12" s="19">
        <v>13.0</v>
      </c>
      <c r="AX12" s="19">
        <v>14.0</v>
      </c>
      <c r="AY12" s="12"/>
      <c r="AZ12" s="12"/>
      <c r="BA12" s="19">
        <v>15.0</v>
      </c>
      <c r="BB12" s="19">
        <v>16.0</v>
      </c>
      <c r="BC12" s="19">
        <v>17.0</v>
      </c>
      <c r="BD12" s="27">
        <v>18.0</v>
      </c>
      <c r="BE12" s="19">
        <v>19.0</v>
      </c>
      <c r="BF12" s="17"/>
      <c r="BG12" s="12" t="str">
        <f t="shared" si="2"/>
        <v>K</v>
      </c>
      <c r="BH12" s="28" t="s">
        <v>19</v>
      </c>
      <c r="BI12" s="29" t="str">
        <f t="shared" ref="BI12:BJ12" si="4">SUM(BI9:BI11)</f>
        <v>265</v>
      </c>
      <c r="BJ12" s="30" t="str">
        <f t="shared" si="4"/>
        <v>100%</v>
      </c>
      <c r="BK12" s="11"/>
    </row>
    <row r="13">
      <c r="A13" s="1" t="s">
        <v>17</v>
      </c>
      <c r="B13" s="12" t="s">
        <v>20</v>
      </c>
      <c r="C13" s="13"/>
      <c r="D13" s="19">
        <v>1.0</v>
      </c>
      <c r="E13" s="19">
        <v>2.0</v>
      </c>
      <c r="F13" s="19">
        <v>3.0</v>
      </c>
      <c r="G13" s="19">
        <v>4.0</v>
      </c>
      <c r="H13" s="19">
        <v>5.0</v>
      </c>
      <c r="I13" s="19">
        <v>6.0</v>
      </c>
      <c r="J13" s="19">
        <v>7.0</v>
      </c>
      <c r="K13" s="19">
        <v>8.0</v>
      </c>
      <c r="L13" s="19">
        <v>9.0</v>
      </c>
      <c r="M13" s="19">
        <v>10.0</v>
      </c>
      <c r="N13" s="19">
        <v>11.0</v>
      </c>
      <c r="O13" s="19">
        <v>12.0</v>
      </c>
      <c r="P13" s="19">
        <v>13.0</v>
      </c>
      <c r="Q13" s="19">
        <v>14.0</v>
      </c>
      <c r="R13" s="12"/>
      <c r="S13" s="12"/>
      <c r="T13" s="19">
        <v>15.0</v>
      </c>
      <c r="U13" s="19">
        <v>16.0</v>
      </c>
      <c r="V13" s="19">
        <v>17.0</v>
      </c>
      <c r="W13" s="27">
        <v>18.0</v>
      </c>
      <c r="X13" s="19">
        <v>19.0</v>
      </c>
      <c r="Y13" s="17"/>
      <c r="Z13" s="12" t="str">
        <f t="shared" si="1"/>
        <v>J</v>
      </c>
      <c r="AA13" s="31" t="s">
        <v>21</v>
      </c>
      <c r="AB13" s="31">
        <v>1.0</v>
      </c>
      <c r="AC13" s="32" t="s">
        <v>22</v>
      </c>
      <c r="AD13" s="11"/>
      <c r="AH13" s="1" t="s">
        <v>17</v>
      </c>
      <c r="AI13" s="12" t="s">
        <v>20</v>
      </c>
      <c r="AJ13" s="13"/>
      <c r="AK13" s="19">
        <v>1.0</v>
      </c>
      <c r="AL13" s="19">
        <v>2.0</v>
      </c>
      <c r="AM13" s="19">
        <v>3.0</v>
      </c>
      <c r="AN13" s="19">
        <v>4.0</v>
      </c>
      <c r="AO13" s="19">
        <v>5.0</v>
      </c>
      <c r="AP13" s="19">
        <v>6.0</v>
      </c>
      <c r="AQ13" s="19">
        <v>7.0</v>
      </c>
      <c r="AR13" s="19">
        <v>8.0</v>
      </c>
      <c r="AS13" s="19">
        <v>9.0</v>
      </c>
      <c r="AT13" s="19">
        <v>10.0</v>
      </c>
      <c r="AU13" s="19">
        <v>11.0</v>
      </c>
      <c r="AV13" s="19">
        <v>12.0</v>
      </c>
      <c r="AW13" s="19">
        <v>13.0</v>
      </c>
      <c r="AX13" s="19">
        <v>14.0</v>
      </c>
      <c r="AY13" s="12"/>
      <c r="AZ13" s="12"/>
      <c r="BA13" s="19">
        <v>15.0</v>
      </c>
      <c r="BB13" s="19">
        <v>16.0</v>
      </c>
      <c r="BC13" s="19">
        <v>17.0</v>
      </c>
      <c r="BD13" s="27">
        <v>18.0</v>
      </c>
      <c r="BE13" s="19">
        <v>19.0</v>
      </c>
      <c r="BF13" s="17"/>
      <c r="BG13" s="12" t="str">
        <f t="shared" si="2"/>
        <v>J</v>
      </c>
      <c r="BH13" s="31" t="s">
        <v>21</v>
      </c>
      <c r="BI13" s="31">
        <v>1.0</v>
      </c>
      <c r="BJ13" s="32" t="s">
        <v>22</v>
      </c>
      <c r="BK13" s="11"/>
    </row>
    <row r="14">
      <c r="A14" s="1" t="s">
        <v>17</v>
      </c>
      <c r="B14" s="12" t="s">
        <v>23</v>
      </c>
      <c r="C14" s="13"/>
      <c r="D14" s="19">
        <v>1.0</v>
      </c>
      <c r="E14" s="19">
        <v>2.0</v>
      </c>
      <c r="F14" s="19">
        <v>3.0</v>
      </c>
      <c r="G14" s="19">
        <v>4.0</v>
      </c>
      <c r="H14" s="19">
        <v>5.0</v>
      </c>
      <c r="I14" s="19">
        <v>6.0</v>
      </c>
      <c r="J14" s="19">
        <v>7.0</v>
      </c>
      <c r="K14" s="19">
        <v>8.0</v>
      </c>
      <c r="L14" s="19">
        <v>9.0</v>
      </c>
      <c r="M14" s="19">
        <v>10.0</v>
      </c>
      <c r="N14" s="19">
        <v>11.0</v>
      </c>
      <c r="O14" s="19">
        <v>12.0</v>
      </c>
      <c r="P14" s="19">
        <v>13.0</v>
      </c>
      <c r="Q14" s="19">
        <v>14.0</v>
      </c>
      <c r="R14" s="12"/>
      <c r="S14" s="12"/>
      <c r="T14" s="19">
        <v>15.0</v>
      </c>
      <c r="U14" s="19">
        <v>16.0</v>
      </c>
      <c r="V14" s="19">
        <v>17.0</v>
      </c>
      <c r="W14" s="12"/>
      <c r="X14" s="12"/>
      <c r="Y14" s="17"/>
      <c r="Z14" s="12" t="str">
        <f t="shared" si="1"/>
        <v>H</v>
      </c>
      <c r="AA14" s="2"/>
      <c r="AD14" s="11"/>
      <c r="AH14" s="1" t="s">
        <v>17</v>
      </c>
      <c r="AI14" s="12" t="s">
        <v>23</v>
      </c>
      <c r="AJ14" s="13"/>
      <c r="AK14" s="19">
        <v>1.0</v>
      </c>
      <c r="AL14" s="19">
        <v>2.0</v>
      </c>
      <c r="AM14" s="19">
        <v>3.0</v>
      </c>
      <c r="AN14" s="19">
        <v>4.0</v>
      </c>
      <c r="AO14" s="19">
        <v>5.0</v>
      </c>
      <c r="AP14" s="19">
        <v>6.0</v>
      </c>
      <c r="AQ14" s="19">
        <v>7.0</v>
      </c>
      <c r="AR14" s="19">
        <v>8.0</v>
      </c>
      <c r="AS14" s="19">
        <v>9.0</v>
      </c>
      <c r="AT14" s="19">
        <v>10.0</v>
      </c>
      <c r="AU14" s="19">
        <v>11.0</v>
      </c>
      <c r="AV14" s="19">
        <v>12.0</v>
      </c>
      <c r="AW14" s="19">
        <v>13.0</v>
      </c>
      <c r="AX14" s="19">
        <v>14.0</v>
      </c>
      <c r="AY14" s="12"/>
      <c r="AZ14" s="12"/>
      <c r="BA14" s="19">
        <v>15.0</v>
      </c>
      <c r="BB14" s="19">
        <v>16.0</v>
      </c>
      <c r="BC14" s="19">
        <v>17.0</v>
      </c>
      <c r="BD14" s="12"/>
      <c r="BE14" s="12"/>
      <c r="BF14" s="17"/>
      <c r="BG14" s="12" t="str">
        <f t="shared" si="2"/>
        <v>H</v>
      </c>
      <c r="BH14" s="2"/>
      <c r="BK14" s="11"/>
    </row>
    <row r="15">
      <c r="A15" s="1" t="s">
        <v>17</v>
      </c>
      <c r="B15" s="12" t="s">
        <v>24</v>
      </c>
      <c r="C15" s="13"/>
      <c r="D15" s="19">
        <v>1.0</v>
      </c>
      <c r="E15" s="19">
        <v>2.0</v>
      </c>
      <c r="F15" s="19">
        <v>3.0</v>
      </c>
      <c r="G15" s="19">
        <v>4.0</v>
      </c>
      <c r="H15" s="19">
        <v>5.0</v>
      </c>
      <c r="I15" s="19">
        <v>6.0</v>
      </c>
      <c r="J15" s="19">
        <v>7.0</v>
      </c>
      <c r="K15" s="19">
        <v>8.0</v>
      </c>
      <c r="L15" s="19">
        <v>9.0</v>
      </c>
      <c r="M15" s="19">
        <v>10.0</v>
      </c>
      <c r="N15" s="19">
        <v>11.0</v>
      </c>
      <c r="O15" s="19">
        <v>12.0</v>
      </c>
      <c r="P15" s="19">
        <v>13.0</v>
      </c>
      <c r="Q15" s="19">
        <v>14.0</v>
      </c>
      <c r="R15" s="12"/>
      <c r="S15" s="12"/>
      <c r="T15" s="19">
        <v>15.0</v>
      </c>
      <c r="U15" s="19">
        <v>16.0</v>
      </c>
      <c r="V15" s="19">
        <v>17.0</v>
      </c>
      <c r="W15" s="12"/>
      <c r="X15" s="12"/>
      <c r="Y15" s="17"/>
      <c r="Z15" s="12" t="str">
        <f t="shared" si="1"/>
        <v>G</v>
      </c>
      <c r="AA15" s="33">
        <v>19.0</v>
      </c>
      <c r="AB15" s="34" t="s">
        <v>25</v>
      </c>
      <c r="AD15" s="11"/>
      <c r="AH15" s="1" t="s">
        <v>17</v>
      </c>
      <c r="AI15" s="12" t="s">
        <v>24</v>
      </c>
      <c r="AJ15" s="13"/>
      <c r="AK15" s="19">
        <v>1.0</v>
      </c>
      <c r="AL15" s="19">
        <v>2.0</v>
      </c>
      <c r="AM15" s="19">
        <v>3.0</v>
      </c>
      <c r="AN15" s="19">
        <v>4.0</v>
      </c>
      <c r="AO15" s="19">
        <v>5.0</v>
      </c>
      <c r="AP15" s="19">
        <v>6.0</v>
      </c>
      <c r="AQ15" s="19">
        <v>7.0</v>
      </c>
      <c r="AR15" s="19">
        <v>8.0</v>
      </c>
      <c r="AS15" s="19">
        <v>9.0</v>
      </c>
      <c r="AT15" s="19">
        <v>10.0</v>
      </c>
      <c r="AU15" s="19">
        <v>11.0</v>
      </c>
      <c r="AV15" s="19">
        <v>12.0</v>
      </c>
      <c r="AW15" s="19">
        <v>13.0</v>
      </c>
      <c r="AX15" s="19">
        <v>14.0</v>
      </c>
      <c r="AY15" s="12"/>
      <c r="AZ15" s="12"/>
      <c r="BA15" s="19">
        <v>15.0</v>
      </c>
      <c r="BB15" s="19">
        <v>16.0</v>
      </c>
      <c r="BC15" s="19">
        <v>17.0</v>
      </c>
      <c r="BD15" s="12"/>
      <c r="BE15" s="12"/>
      <c r="BF15" s="17"/>
      <c r="BG15" s="12" t="str">
        <f t="shared" si="2"/>
        <v>G</v>
      </c>
      <c r="BH15" s="33">
        <v>19.0</v>
      </c>
      <c r="BI15" s="34" t="s">
        <v>25</v>
      </c>
      <c r="BK15" s="11"/>
    </row>
    <row r="16">
      <c r="A16" s="1" t="s">
        <v>17</v>
      </c>
      <c r="B16" s="12" t="s">
        <v>26</v>
      </c>
      <c r="C16" s="13"/>
      <c r="D16" s="19">
        <v>1.0</v>
      </c>
      <c r="E16" s="19">
        <v>2.0</v>
      </c>
      <c r="F16" s="19">
        <v>3.0</v>
      </c>
      <c r="G16" s="19">
        <v>4.0</v>
      </c>
      <c r="H16" s="19">
        <v>5.0</v>
      </c>
      <c r="I16" s="19">
        <v>6.0</v>
      </c>
      <c r="J16" s="19">
        <v>7.0</v>
      </c>
      <c r="K16" s="19">
        <v>8.0</v>
      </c>
      <c r="L16" s="19">
        <v>9.0</v>
      </c>
      <c r="M16" s="19">
        <v>10.0</v>
      </c>
      <c r="N16" s="19">
        <v>11.0</v>
      </c>
      <c r="O16" s="19">
        <v>12.0</v>
      </c>
      <c r="P16" s="19">
        <v>13.0</v>
      </c>
      <c r="Q16" s="19">
        <v>14.0</v>
      </c>
      <c r="R16" s="12"/>
      <c r="S16" s="12"/>
      <c r="T16" s="19">
        <v>15.0</v>
      </c>
      <c r="U16" s="19">
        <v>16.0</v>
      </c>
      <c r="V16" s="19">
        <v>17.0</v>
      </c>
      <c r="W16" s="12"/>
      <c r="X16" s="12"/>
      <c r="Y16" s="17"/>
      <c r="Z16" s="12" t="str">
        <f t="shared" si="1"/>
        <v>F</v>
      </c>
      <c r="AH16" s="1" t="s">
        <v>17</v>
      </c>
      <c r="AI16" s="12" t="s">
        <v>26</v>
      </c>
      <c r="AJ16" s="13"/>
      <c r="AK16" s="19">
        <v>1.0</v>
      </c>
      <c r="AL16" s="19">
        <v>2.0</v>
      </c>
      <c r="AM16" s="19">
        <v>3.0</v>
      </c>
      <c r="AN16" s="19">
        <v>4.0</v>
      </c>
      <c r="AO16" s="19">
        <v>5.0</v>
      </c>
      <c r="AP16" s="19">
        <v>6.0</v>
      </c>
      <c r="AQ16" s="19">
        <v>7.0</v>
      </c>
      <c r="AR16" s="19">
        <v>8.0</v>
      </c>
      <c r="AS16" s="19">
        <v>9.0</v>
      </c>
      <c r="AT16" s="19">
        <v>10.0</v>
      </c>
      <c r="AU16" s="19">
        <v>11.0</v>
      </c>
      <c r="AV16" s="19">
        <v>12.0</v>
      </c>
      <c r="AW16" s="19">
        <v>13.0</v>
      </c>
      <c r="AX16" s="19">
        <v>14.0</v>
      </c>
      <c r="AY16" s="12"/>
      <c r="AZ16" s="12"/>
      <c r="BA16" s="19">
        <v>15.0</v>
      </c>
      <c r="BB16" s="19">
        <v>16.0</v>
      </c>
      <c r="BC16" s="19">
        <v>17.0</v>
      </c>
      <c r="BD16" s="12"/>
      <c r="BE16" s="12"/>
      <c r="BF16" s="17"/>
      <c r="BG16" s="12" t="str">
        <f t="shared" si="2"/>
        <v>F</v>
      </c>
    </row>
    <row r="17">
      <c r="A17" s="1" t="s">
        <v>17</v>
      </c>
      <c r="B17" s="12" t="s">
        <v>27</v>
      </c>
      <c r="C17" s="13"/>
      <c r="D17" s="19">
        <v>1.0</v>
      </c>
      <c r="E17" s="19">
        <v>2.0</v>
      </c>
      <c r="F17" s="19">
        <v>3.0</v>
      </c>
      <c r="G17" s="19">
        <v>4.0</v>
      </c>
      <c r="H17" s="19">
        <v>5.0</v>
      </c>
      <c r="I17" s="19">
        <v>6.0</v>
      </c>
      <c r="J17" s="19">
        <v>7.0</v>
      </c>
      <c r="K17" s="19">
        <v>8.0</v>
      </c>
      <c r="L17" s="19">
        <v>9.0</v>
      </c>
      <c r="M17" s="19">
        <v>10.0</v>
      </c>
      <c r="N17" s="19">
        <v>11.0</v>
      </c>
      <c r="O17" s="19">
        <v>12.0</v>
      </c>
      <c r="P17" s="19">
        <v>13.0</v>
      </c>
      <c r="Q17" s="19">
        <v>14.0</v>
      </c>
      <c r="R17" s="12"/>
      <c r="S17" s="12"/>
      <c r="T17" s="19">
        <v>15.0</v>
      </c>
      <c r="U17" s="19">
        <v>16.0</v>
      </c>
      <c r="V17" s="19">
        <v>17.0</v>
      </c>
      <c r="W17" s="12"/>
      <c r="X17" s="12"/>
      <c r="Y17" s="17"/>
      <c r="Z17" s="12" t="str">
        <f t="shared" si="1"/>
        <v>E</v>
      </c>
      <c r="AA17" s="2"/>
      <c r="AH17" s="1" t="s">
        <v>17</v>
      </c>
      <c r="AI17" s="12" t="s">
        <v>27</v>
      </c>
      <c r="AJ17" s="13"/>
      <c r="AK17" s="19">
        <v>1.0</v>
      </c>
      <c r="AL17" s="19">
        <v>2.0</v>
      </c>
      <c r="AM17" s="19">
        <v>3.0</v>
      </c>
      <c r="AN17" s="19">
        <v>4.0</v>
      </c>
      <c r="AO17" s="19">
        <v>5.0</v>
      </c>
      <c r="AP17" s="19">
        <v>6.0</v>
      </c>
      <c r="AQ17" s="19">
        <v>7.0</v>
      </c>
      <c r="AR17" s="19">
        <v>8.0</v>
      </c>
      <c r="AS17" s="19">
        <v>9.0</v>
      </c>
      <c r="AT17" s="19">
        <v>10.0</v>
      </c>
      <c r="AU17" s="19">
        <v>11.0</v>
      </c>
      <c r="AV17" s="19">
        <v>12.0</v>
      </c>
      <c r="AW17" s="19">
        <v>13.0</v>
      </c>
      <c r="AX17" s="19">
        <v>14.0</v>
      </c>
      <c r="AY17" s="12"/>
      <c r="AZ17" s="12"/>
      <c r="BA17" s="19">
        <v>15.0</v>
      </c>
      <c r="BB17" s="19">
        <v>16.0</v>
      </c>
      <c r="BC17" s="19">
        <v>17.0</v>
      </c>
      <c r="BD17" s="12"/>
      <c r="BE17" s="12"/>
      <c r="BF17" s="17"/>
      <c r="BG17" s="12" t="str">
        <f t="shared" si="2"/>
        <v>E</v>
      </c>
      <c r="BH17" s="2"/>
    </row>
    <row r="18">
      <c r="A18" s="1" t="s">
        <v>17</v>
      </c>
      <c r="B18" s="12" t="s">
        <v>28</v>
      </c>
      <c r="C18" s="13"/>
      <c r="D18" s="19">
        <v>1.0</v>
      </c>
      <c r="E18" s="19">
        <v>2.0</v>
      </c>
      <c r="F18" s="19">
        <v>3.0</v>
      </c>
      <c r="G18" s="19">
        <v>4.0</v>
      </c>
      <c r="H18" s="19">
        <v>5.0</v>
      </c>
      <c r="I18" s="19">
        <v>6.0</v>
      </c>
      <c r="J18" s="19">
        <v>7.0</v>
      </c>
      <c r="K18" s="19">
        <v>8.0</v>
      </c>
      <c r="L18" s="19">
        <v>9.0</v>
      </c>
      <c r="M18" s="19">
        <v>10.0</v>
      </c>
      <c r="N18" s="19">
        <v>11.0</v>
      </c>
      <c r="O18" s="19">
        <v>12.0</v>
      </c>
      <c r="P18" s="19">
        <v>13.0</v>
      </c>
      <c r="Q18" s="19">
        <v>14.0</v>
      </c>
      <c r="R18" s="12"/>
      <c r="S18" s="12"/>
      <c r="T18" s="19">
        <v>15.0</v>
      </c>
      <c r="U18" s="19">
        <v>16.0</v>
      </c>
      <c r="V18" s="19">
        <v>17.0</v>
      </c>
      <c r="W18" s="12"/>
      <c r="X18" s="12"/>
      <c r="Y18" s="17"/>
      <c r="Z18" s="12" t="str">
        <f t="shared" si="1"/>
        <v>D</v>
      </c>
      <c r="AA18" s="2"/>
      <c r="AH18" s="1" t="s">
        <v>17</v>
      </c>
      <c r="AI18" s="12" t="s">
        <v>28</v>
      </c>
      <c r="AJ18" s="13"/>
      <c r="AK18" s="19">
        <v>1.0</v>
      </c>
      <c r="AL18" s="19">
        <v>2.0</v>
      </c>
      <c r="AM18" s="19">
        <v>3.0</v>
      </c>
      <c r="AN18" s="19">
        <v>4.0</v>
      </c>
      <c r="AO18" s="19">
        <v>5.0</v>
      </c>
      <c r="AP18" s="19">
        <v>6.0</v>
      </c>
      <c r="AQ18" s="19">
        <v>7.0</v>
      </c>
      <c r="AR18" s="19">
        <v>8.0</v>
      </c>
      <c r="AS18" s="19">
        <v>9.0</v>
      </c>
      <c r="AT18" s="19">
        <v>10.0</v>
      </c>
      <c r="AU18" s="19">
        <v>11.0</v>
      </c>
      <c r="AV18" s="19">
        <v>12.0</v>
      </c>
      <c r="AW18" s="19">
        <v>13.0</v>
      </c>
      <c r="AX18" s="19">
        <v>14.0</v>
      </c>
      <c r="AY18" s="12"/>
      <c r="AZ18" s="12"/>
      <c r="BA18" s="19">
        <v>15.0</v>
      </c>
      <c r="BB18" s="19">
        <v>16.0</v>
      </c>
      <c r="BC18" s="19">
        <v>17.0</v>
      </c>
      <c r="BD18" s="12"/>
      <c r="BE18" s="12"/>
      <c r="BF18" s="17"/>
      <c r="BG18" s="12" t="str">
        <f t="shared" si="2"/>
        <v>D</v>
      </c>
      <c r="BH18" s="2"/>
    </row>
    <row r="19">
      <c r="A19" s="1" t="s">
        <v>17</v>
      </c>
      <c r="B19" s="12" t="s">
        <v>29</v>
      </c>
      <c r="C19" s="13"/>
      <c r="D19" s="19">
        <v>1.0</v>
      </c>
      <c r="E19" s="19">
        <v>2.0</v>
      </c>
      <c r="F19" s="19">
        <v>3.0</v>
      </c>
      <c r="G19" s="19">
        <v>4.0</v>
      </c>
      <c r="H19" s="19">
        <v>5.0</v>
      </c>
      <c r="I19" s="19">
        <v>6.0</v>
      </c>
      <c r="J19" s="19">
        <v>7.0</v>
      </c>
      <c r="K19" s="19">
        <v>8.0</v>
      </c>
      <c r="L19" s="19">
        <v>9.0</v>
      </c>
      <c r="M19" s="19">
        <v>10.0</v>
      </c>
      <c r="N19" s="19">
        <v>11.0</v>
      </c>
      <c r="O19" s="19">
        <v>12.0</v>
      </c>
      <c r="P19" s="19">
        <v>13.0</v>
      </c>
      <c r="Q19" s="19">
        <v>14.0</v>
      </c>
      <c r="R19" s="12"/>
      <c r="S19" s="12"/>
      <c r="T19" s="19">
        <v>15.0</v>
      </c>
      <c r="U19" s="19">
        <v>16.0</v>
      </c>
      <c r="V19" s="19">
        <v>17.0</v>
      </c>
      <c r="W19" s="12"/>
      <c r="X19" s="12"/>
      <c r="Y19" s="17"/>
      <c r="Z19" s="12" t="str">
        <f t="shared" si="1"/>
        <v>C</v>
      </c>
      <c r="AA19" s="2"/>
      <c r="AH19" s="1" t="s">
        <v>17</v>
      </c>
      <c r="AI19" s="12" t="s">
        <v>29</v>
      </c>
      <c r="AJ19" s="13"/>
      <c r="AK19" s="19">
        <v>1.0</v>
      </c>
      <c r="AL19" s="19">
        <v>2.0</v>
      </c>
      <c r="AM19" s="19">
        <v>3.0</v>
      </c>
      <c r="AN19" s="19">
        <v>4.0</v>
      </c>
      <c r="AO19" s="19">
        <v>5.0</v>
      </c>
      <c r="AP19" s="19">
        <v>6.0</v>
      </c>
      <c r="AQ19" s="19">
        <v>7.0</v>
      </c>
      <c r="AR19" s="19">
        <v>8.0</v>
      </c>
      <c r="AS19" s="19">
        <v>9.0</v>
      </c>
      <c r="AT19" s="19">
        <v>10.0</v>
      </c>
      <c r="AU19" s="19">
        <v>11.0</v>
      </c>
      <c r="AV19" s="19">
        <v>12.0</v>
      </c>
      <c r="AW19" s="19">
        <v>13.0</v>
      </c>
      <c r="AX19" s="19">
        <v>14.0</v>
      </c>
      <c r="AY19" s="12"/>
      <c r="AZ19" s="12"/>
      <c r="BA19" s="19">
        <v>15.0</v>
      </c>
      <c r="BB19" s="19">
        <v>16.0</v>
      </c>
      <c r="BC19" s="19">
        <v>17.0</v>
      </c>
      <c r="BD19" s="12"/>
      <c r="BE19" s="12"/>
      <c r="BF19" s="17"/>
      <c r="BG19" s="12" t="str">
        <f t="shared" si="2"/>
        <v>C</v>
      </c>
      <c r="BH19" s="2"/>
    </row>
    <row r="20">
      <c r="B20" s="12" t="s">
        <v>30</v>
      </c>
      <c r="C20" s="13"/>
      <c r="D20" s="35">
        <v>1.0</v>
      </c>
      <c r="E20" s="35">
        <v>2.0</v>
      </c>
      <c r="F20" s="35">
        <v>3.0</v>
      </c>
      <c r="G20" s="35">
        <v>4.0</v>
      </c>
      <c r="H20" s="35">
        <v>5.0</v>
      </c>
      <c r="I20" s="35">
        <v>6.0</v>
      </c>
      <c r="J20" s="35">
        <v>7.0</v>
      </c>
      <c r="K20" s="35">
        <v>8.0</v>
      </c>
      <c r="L20" s="35">
        <v>9.0</v>
      </c>
      <c r="M20" s="35">
        <v>10.0</v>
      </c>
      <c r="N20" s="35">
        <v>11.0</v>
      </c>
      <c r="O20" s="35">
        <v>12.0</v>
      </c>
      <c r="P20" s="35">
        <v>13.0</v>
      </c>
      <c r="Q20" s="35">
        <v>14.0</v>
      </c>
      <c r="R20" s="12"/>
      <c r="S20" s="12"/>
      <c r="T20" s="35">
        <v>15.0</v>
      </c>
      <c r="U20" s="35">
        <v>16.0</v>
      </c>
      <c r="V20" s="35">
        <v>17.0</v>
      </c>
      <c r="W20" s="12"/>
      <c r="X20" s="12"/>
      <c r="Y20" s="17"/>
      <c r="Z20" s="12" t="str">
        <f t="shared" si="1"/>
        <v>B</v>
      </c>
      <c r="AA20" s="2"/>
      <c r="AI20" s="12" t="s">
        <v>30</v>
      </c>
      <c r="AJ20" s="13"/>
      <c r="AK20" s="35">
        <v>1.0</v>
      </c>
      <c r="AL20" s="35">
        <v>2.0</v>
      </c>
      <c r="AM20" s="35">
        <v>3.0</v>
      </c>
      <c r="AN20" s="35">
        <v>4.0</v>
      </c>
      <c r="AO20" s="35">
        <v>5.0</v>
      </c>
      <c r="AP20" s="35">
        <v>6.0</v>
      </c>
      <c r="AQ20" s="35">
        <v>7.0</v>
      </c>
      <c r="AR20" s="35">
        <v>8.0</v>
      </c>
      <c r="AS20" s="35">
        <v>9.0</v>
      </c>
      <c r="AT20" s="35">
        <v>10.0</v>
      </c>
      <c r="AU20" s="35">
        <v>11.0</v>
      </c>
      <c r="AV20" s="35">
        <v>12.0</v>
      </c>
      <c r="AW20" s="35">
        <v>13.0</v>
      </c>
      <c r="AX20" s="35">
        <v>14.0</v>
      </c>
      <c r="AY20" s="12"/>
      <c r="AZ20" s="12"/>
      <c r="BA20" s="35">
        <v>15.0</v>
      </c>
      <c r="BB20" s="35">
        <v>16.0</v>
      </c>
      <c r="BC20" s="35">
        <v>17.0</v>
      </c>
      <c r="BD20" s="12"/>
      <c r="BE20" s="12"/>
      <c r="BF20" s="17"/>
      <c r="BG20" s="12" t="str">
        <f t="shared" si="2"/>
        <v>B</v>
      </c>
      <c r="BH20" s="2"/>
    </row>
    <row r="21" ht="34.5" customHeight="1">
      <c r="A21" s="36"/>
      <c r="B21" s="37" t="s">
        <v>31</v>
      </c>
      <c r="C21" s="38"/>
      <c r="E21" s="39">
        <v>2.0</v>
      </c>
      <c r="F21" s="39">
        <v>3.0</v>
      </c>
      <c r="G21" s="39">
        <v>4.0</v>
      </c>
      <c r="H21" s="39">
        <v>5.0</v>
      </c>
      <c r="I21" s="39">
        <v>6.0</v>
      </c>
      <c r="J21" s="39">
        <v>7.0</v>
      </c>
      <c r="K21" s="39">
        <v>8.0</v>
      </c>
      <c r="L21" s="39">
        <v>9.0</v>
      </c>
      <c r="M21" s="39">
        <v>10.0</v>
      </c>
      <c r="N21" s="39">
        <v>11.0</v>
      </c>
      <c r="O21" s="39">
        <v>12.0</v>
      </c>
      <c r="P21" s="39">
        <v>13.0</v>
      </c>
      <c r="Q21" s="40">
        <v>14.0</v>
      </c>
      <c r="R21" s="37"/>
      <c r="S21" s="37"/>
      <c r="T21" s="39">
        <v>15.0</v>
      </c>
      <c r="U21" s="39">
        <v>16.0</v>
      </c>
      <c r="V21" s="39">
        <v>17.0</v>
      </c>
      <c r="W21" s="41"/>
      <c r="X21" s="41"/>
      <c r="Y21" s="42"/>
      <c r="Z21" s="37" t="str">
        <f t="shared" si="1"/>
        <v>A</v>
      </c>
      <c r="AA21" s="43"/>
      <c r="AB21" s="36"/>
      <c r="AC21" s="36"/>
      <c r="AD21" s="36"/>
      <c r="AE21" s="36"/>
      <c r="AF21" s="36"/>
      <c r="AG21" s="36"/>
      <c r="AH21" s="36"/>
      <c r="AI21" s="37" t="s">
        <v>31</v>
      </c>
      <c r="AJ21" s="38"/>
      <c r="AL21" s="39">
        <v>2.0</v>
      </c>
      <c r="AM21" s="39">
        <v>3.0</v>
      </c>
      <c r="AN21" s="39">
        <v>4.0</v>
      </c>
      <c r="AO21" s="39">
        <v>5.0</v>
      </c>
      <c r="AP21" s="39">
        <v>6.0</v>
      </c>
      <c r="AQ21" s="39">
        <v>7.0</v>
      </c>
      <c r="AR21" s="39">
        <v>8.0</v>
      </c>
      <c r="AS21" s="39">
        <v>9.0</v>
      </c>
      <c r="AT21" s="39">
        <v>10.0</v>
      </c>
      <c r="AU21" s="39">
        <v>11.0</v>
      </c>
      <c r="AV21" s="39">
        <v>12.0</v>
      </c>
      <c r="AW21" s="39">
        <v>13.0</v>
      </c>
      <c r="AX21" s="40">
        <v>14.0</v>
      </c>
      <c r="AY21" s="37"/>
      <c r="AZ21" s="37"/>
      <c r="BA21" s="39">
        <v>15.0</v>
      </c>
      <c r="BB21" s="39">
        <v>16.0</v>
      </c>
      <c r="BC21" s="39">
        <v>17.0</v>
      </c>
      <c r="BD21" s="41"/>
      <c r="BE21" s="41"/>
      <c r="BF21" s="42"/>
      <c r="BG21" s="37" t="str">
        <f t="shared" si="2"/>
        <v>A</v>
      </c>
      <c r="BH21" s="43"/>
      <c r="BI21" s="36"/>
      <c r="BJ21" s="36"/>
      <c r="BK21" s="36"/>
    </row>
    <row r="22" ht="15.75" customHeight="1">
      <c r="B22" s="18"/>
      <c r="C22" s="44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45"/>
      <c r="Z22" s="18"/>
      <c r="AA22" s="2"/>
      <c r="AI22" s="18"/>
      <c r="AJ22" s="44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45"/>
      <c r="BG22" s="18"/>
      <c r="BH22" s="2"/>
    </row>
    <row r="23" ht="15.75" customHeight="1">
      <c r="B23" s="18"/>
      <c r="C23" s="44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45"/>
      <c r="Z23" s="18"/>
      <c r="AA23" s="2"/>
      <c r="AI23" s="18"/>
      <c r="AJ23" s="44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45"/>
      <c r="BG23" s="18"/>
      <c r="BH23" s="2"/>
    </row>
    <row r="24" ht="15.75" customHeight="1">
      <c r="C24" s="4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47"/>
      <c r="AA24" s="2"/>
      <c r="AJ24" s="46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47"/>
      <c r="BH24" s="2"/>
    </row>
    <row r="25" ht="15.75" customHeight="1">
      <c r="C25" s="4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47"/>
      <c r="AA25" s="2"/>
      <c r="AJ25" s="46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47"/>
      <c r="BH25" s="2"/>
    </row>
    <row r="26" ht="15.75" customHeight="1">
      <c r="C26" s="4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47"/>
      <c r="AA26" s="2"/>
      <c r="AJ26" s="46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47"/>
      <c r="BH26" s="2"/>
    </row>
    <row r="27" ht="15.75" customHeight="1">
      <c r="C27" s="4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47"/>
      <c r="AA27" s="2"/>
      <c r="AJ27" s="46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47"/>
      <c r="BH27" s="2"/>
    </row>
    <row r="28" ht="15.75" customHeight="1"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50"/>
      <c r="AA28" s="2"/>
      <c r="AJ28" s="48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50"/>
      <c r="BH28" s="2"/>
    </row>
    <row r="29" ht="15.75" customHeight="1">
      <c r="X29" s="1"/>
      <c r="Y29" s="1"/>
      <c r="AA29" s="2"/>
      <c r="BE29" s="1"/>
      <c r="BF29" s="1"/>
      <c r="BH29" s="2"/>
    </row>
    <row r="30" ht="15.75" customHeight="1">
      <c r="X30" s="1"/>
      <c r="Y30" s="1"/>
      <c r="AA30" s="2"/>
      <c r="BE30" s="1"/>
      <c r="BF30" s="1"/>
      <c r="BH30" s="2"/>
    </row>
    <row r="31" ht="15.75" customHeight="1">
      <c r="X31" s="1"/>
      <c r="Y31" s="1"/>
      <c r="AA31" s="2"/>
      <c r="BE31" s="1"/>
      <c r="BF31" s="1"/>
      <c r="BH31" s="2"/>
    </row>
    <row r="32" ht="15.75" customHeight="1">
      <c r="X32" s="1"/>
      <c r="Y32" s="1"/>
      <c r="AA32" s="2"/>
      <c r="BE32" s="1"/>
      <c r="BF32" s="1"/>
      <c r="BH32" s="2"/>
    </row>
    <row r="33" ht="15.75" customHeight="1">
      <c r="X33" s="1"/>
      <c r="Y33" s="1"/>
      <c r="AA33" s="2"/>
    </row>
    <row r="34" ht="15.75" customHeight="1">
      <c r="X34" s="1"/>
      <c r="Y34" s="1"/>
      <c r="AA34" s="2"/>
    </row>
    <row r="35" ht="15.75" customHeight="1">
      <c r="X35" s="1"/>
      <c r="Y35" s="1"/>
      <c r="AA35" s="2"/>
    </row>
    <row r="36" ht="15.75" customHeight="1">
      <c r="X36" s="1"/>
      <c r="Y36" s="1"/>
      <c r="AA36" s="2"/>
    </row>
    <row r="37" ht="15.75" customHeight="1">
      <c r="X37" s="1"/>
      <c r="Y37" s="1"/>
      <c r="AA37" s="2"/>
    </row>
    <row r="38" ht="15.75" customHeight="1">
      <c r="X38" s="1"/>
      <c r="Y38" s="1"/>
      <c r="AA38" s="2"/>
    </row>
    <row r="39" ht="15.75" customHeight="1">
      <c r="X39" s="1"/>
      <c r="Y39" s="1"/>
      <c r="AA39" s="2"/>
    </row>
    <row r="40" ht="15.75" customHeight="1">
      <c r="X40" s="1"/>
      <c r="Y40" s="1"/>
      <c r="AA40" s="2"/>
    </row>
    <row r="41" ht="15.75" customHeight="1">
      <c r="X41" s="1"/>
      <c r="Y41" s="1"/>
      <c r="AA41" s="2"/>
    </row>
    <row r="42" ht="15.75" customHeight="1">
      <c r="X42" s="1"/>
      <c r="Y42" s="1"/>
      <c r="AA42" s="2"/>
    </row>
    <row r="43" ht="15.75" customHeight="1">
      <c r="X43" s="1"/>
      <c r="Y43" s="1"/>
      <c r="AA43" s="2"/>
    </row>
    <row r="44" ht="15.75" customHeight="1">
      <c r="X44" s="1"/>
      <c r="Y44" s="1"/>
      <c r="AA44" s="2"/>
    </row>
    <row r="45" ht="15.75" customHeight="1">
      <c r="X45" s="1"/>
      <c r="Y45" s="1"/>
      <c r="AA45" s="2"/>
    </row>
    <row r="46" ht="15.75" customHeight="1">
      <c r="X46" s="1"/>
      <c r="Y46" s="1"/>
      <c r="AA46" s="2"/>
    </row>
    <row r="47" ht="15.75" customHeight="1">
      <c r="X47" s="1"/>
      <c r="Y47" s="1"/>
      <c r="AA47" s="2"/>
    </row>
    <row r="48" ht="15.75" customHeight="1">
      <c r="X48" s="1"/>
      <c r="Y48" s="1"/>
      <c r="AA48" s="2"/>
    </row>
    <row r="49" ht="15.75" customHeight="1">
      <c r="X49" s="1"/>
      <c r="Y49" s="1"/>
      <c r="AA49" s="2"/>
    </row>
    <row r="50" ht="15.75" customHeight="1">
      <c r="X50" s="1"/>
      <c r="Y50" s="1"/>
      <c r="AA50" s="2"/>
    </row>
    <row r="51" ht="15.75" customHeight="1">
      <c r="X51" s="1"/>
      <c r="Y51" s="1"/>
      <c r="AA51" s="2"/>
    </row>
    <row r="52" ht="15.75" customHeight="1">
      <c r="X52" s="1"/>
      <c r="Y52" s="1"/>
      <c r="AA52" s="2"/>
    </row>
    <row r="53" ht="15.75" customHeight="1">
      <c r="X53" s="1"/>
      <c r="Y53" s="1"/>
      <c r="AA53" s="2"/>
    </row>
    <row r="54" ht="15.75" customHeight="1">
      <c r="X54" s="1"/>
      <c r="Y54" s="1"/>
      <c r="AA54" s="2"/>
    </row>
    <row r="55" ht="15.75" customHeight="1">
      <c r="X55" s="1"/>
      <c r="Y55" s="1"/>
      <c r="AA55" s="2"/>
    </row>
    <row r="56" ht="15.75" customHeight="1">
      <c r="X56" s="1"/>
      <c r="Y56" s="1"/>
      <c r="AA56" s="2"/>
    </row>
    <row r="57" ht="15.75" customHeight="1">
      <c r="X57" s="1"/>
      <c r="Y57" s="1"/>
      <c r="AA57" s="2"/>
    </row>
    <row r="58" ht="15.75" customHeight="1">
      <c r="X58" s="1"/>
      <c r="Y58" s="1"/>
      <c r="AA58" s="2"/>
    </row>
    <row r="59" ht="15.75" customHeight="1">
      <c r="X59" s="1"/>
      <c r="Y59" s="1"/>
      <c r="AA59" s="2"/>
    </row>
    <row r="60" ht="15.75" customHeight="1">
      <c r="X60" s="1"/>
      <c r="Y60" s="1"/>
      <c r="AA60" s="2"/>
    </row>
    <row r="61" ht="15.75" customHeight="1">
      <c r="X61" s="1"/>
      <c r="Y61" s="1"/>
      <c r="AA61" s="2"/>
    </row>
    <row r="62" ht="15.75" customHeight="1">
      <c r="X62" s="1"/>
      <c r="Y62" s="1"/>
      <c r="AA62" s="2"/>
    </row>
    <row r="63" ht="15.75" customHeight="1">
      <c r="X63" s="1"/>
      <c r="Y63" s="1"/>
      <c r="AA63" s="2"/>
    </row>
    <row r="64" ht="15.75" customHeight="1">
      <c r="X64" s="1"/>
      <c r="Y64" s="1"/>
      <c r="AA64" s="2"/>
    </row>
    <row r="65" ht="15.75" customHeight="1">
      <c r="X65" s="1"/>
      <c r="Y65" s="1"/>
      <c r="AA65" s="2"/>
    </row>
    <row r="66" ht="15.75" customHeight="1">
      <c r="X66" s="1"/>
      <c r="Y66" s="1"/>
      <c r="AA66" s="2"/>
    </row>
    <row r="67" ht="15.75" customHeight="1">
      <c r="X67" s="1"/>
      <c r="Y67" s="1"/>
      <c r="AA67" s="2"/>
    </row>
    <row r="68" ht="15.75" customHeight="1">
      <c r="X68" s="1"/>
      <c r="Y68" s="1"/>
      <c r="AA68" s="2"/>
    </row>
    <row r="69" ht="15.75" customHeight="1">
      <c r="X69" s="1"/>
      <c r="Y69" s="1"/>
      <c r="AA69" s="2"/>
    </row>
    <row r="70" ht="15.75" customHeight="1">
      <c r="X70" s="1"/>
      <c r="Y70" s="1"/>
      <c r="AA70" s="2"/>
    </row>
    <row r="71" ht="15.75" customHeight="1">
      <c r="X71" s="1"/>
      <c r="Y71" s="1"/>
      <c r="AA71" s="2"/>
    </row>
    <row r="72" ht="15.75" customHeight="1">
      <c r="X72" s="1"/>
      <c r="Y72" s="1"/>
      <c r="AA72" s="2"/>
    </row>
    <row r="73" ht="15.75" customHeight="1">
      <c r="X73" s="1"/>
      <c r="Y73" s="1"/>
      <c r="AA73" s="2"/>
    </row>
    <row r="74" ht="15.75" customHeight="1">
      <c r="X74" s="1"/>
      <c r="Y74" s="1"/>
      <c r="AA74" s="2"/>
    </row>
    <row r="75" ht="15.75" customHeight="1">
      <c r="X75" s="1"/>
      <c r="Y75" s="1"/>
      <c r="AA75" s="2"/>
    </row>
    <row r="76" ht="15.75" customHeight="1">
      <c r="X76" s="1"/>
      <c r="Y76" s="1"/>
      <c r="AA76" s="2"/>
    </row>
    <row r="77" ht="15.75" customHeight="1">
      <c r="X77" s="1"/>
      <c r="Y77" s="1"/>
      <c r="AA77" s="2"/>
    </row>
    <row r="78" ht="15.75" customHeight="1">
      <c r="X78" s="1"/>
      <c r="Y78" s="1"/>
      <c r="AA78" s="2"/>
    </row>
    <row r="79" ht="15.75" customHeight="1">
      <c r="X79" s="1"/>
      <c r="Y79" s="1"/>
      <c r="AA79" s="2"/>
    </row>
    <row r="80" ht="15.75" customHeight="1">
      <c r="X80" s="1"/>
      <c r="Y80" s="1"/>
      <c r="AA80" s="2"/>
    </row>
    <row r="81" ht="15.75" customHeight="1">
      <c r="X81" s="1"/>
      <c r="Y81" s="1"/>
      <c r="AA81" s="2"/>
    </row>
    <row r="82" ht="15.75" customHeight="1">
      <c r="X82" s="1"/>
      <c r="Y82" s="1"/>
      <c r="AA82" s="2"/>
    </row>
    <row r="83" ht="15.75" customHeight="1">
      <c r="X83" s="1"/>
      <c r="Y83" s="1"/>
      <c r="AA83" s="2"/>
    </row>
    <row r="84" ht="15.75" customHeight="1">
      <c r="X84" s="1"/>
      <c r="Y84" s="1"/>
      <c r="AA84" s="2"/>
    </row>
    <row r="85" ht="15.75" customHeight="1">
      <c r="X85" s="1"/>
      <c r="Y85" s="1"/>
      <c r="AA85" s="2"/>
    </row>
    <row r="86" ht="15.75" customHeight="1">
      <c r="X86" s="1"/>
      <c r="Y86" s="1"/>
      <c r="AA86" s="2"/>
    </row>
    <row r="87" ht="15.75" customHeight="1">
      <c r="X87" s="1"/>
      <c r="Y87" s="1"/>
      <c r="AA87" s="2"/>
    </row>
    <row r="88" ht="15.75" customHeight="1">
      <c r="X88" s="1"/>
      <c r="Y88" s="1"/>
      <c r="AA88" s="2"/>
    </row>
    <row r="89" ht="15.75" customHeight="1">
      <c r="X89" s="1"/>
      <c r="Y89" s="1"/>
      <c r="AA89" s="2"/>
    </row>
    <row r="90" ht="15.75" customHeight="1">
      <c r="X90" s="1"/>
      <c r="Y90" s="1"/>
      <c r="AA90" s="2"/>
    </row>
    <row r="91" ht="15.75" customHeight="1">
      <c r="X91" s="1"/>
      <c r="Y91" s="1"/>
      <c r="AA91" s="2"/>
    </row>
    <row r="92" ht="15.75" customHeight="1">
      <c r="X92" s="1"/>
      <c r="Y92" s="1"/>
      <c r="AA92" s="2"/>
    </row>
    <row r="93" ht="15.75" customHeight="1">
      <c r="X93" s="1"/>
      <c r="Y93" s="1"/>
      <c r="AA93" s="2"/>
    </row>
    <row r="94" ht="15.75" customHeight="1">
      <c r="X94" s="1"/>
      <c r="Y94" s="1"/>
      <c r="AA94" s="2"/>
    </row>
    <row r="95" ht="15.75" customHeight="1">
      <c r="X95" s="1"/>
      <c r="Y95" s="1"/>
      <c r="AA95" s="2"/>
    </row>
    <row r="96" ht="15.75" customHeight="1">
      <c r="X96" s="1"/>
      <c r="Y96" s="1"/>
      <c r="AA96" s="2"/>
    </row>
    <row r="97" ht="15.75" customHeight="1">
      <c r="X97" s="1"/>
      <c r="Y97" s="1"/>
      <c r="AA97" s="2"/>
    </row>
    <row r="98" ht="15.75" customHeight="1">
      <c r="X98" s="1"/>
      <c r="Y98" s="1"/>
      <c r="AA98" s="2"/>
    </row>
    <row r="99" ht="15.75" customHeight="1">
      <c r="X99" s="1"/>
      <c r="Y99" s="1"/>
      <c r="AA99" s="2"/>
    </row>
    <row r="100" ht="15.75" customHeight="1">
      <c r="X100" s="1"/>
      <c r="Y100" s="1"/>
      <c r="AA100" s="2"/>
    </row>
  </sheetData>
  <mergeCells count="12">
    <mergeCell ref="W6:X6"/>
    <mergeCell ref="AK6:AL6"/>
    <mergeCell ref="AM6:AN6"/>
    <mergeCell ref="AS6:AT6"/>
    <mergeCell ref="I3:T3"/>
    <mergeCell ref="D6:E6"/>
    <mergeCell ref="F6:G6"/>
    <mergeCell ref="L6:M6"/>
    <mergeCell ref="Q6:R6"/>
    <mergeCell ref="BD6:BE6"/>
    <mergeCell ref="AP3:BA3"/>
    <mergeCell ref="AX6:AY6"/>
  </mergeCells>
  <printOptions/>
  <pageMargins bottom="0.748031496062992" footer="0.0" header="0.0" left="0.196850393700787" right="0.196850393700787" top="0.748031496062992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9.0"/>
    <col customWidth="1" min="3" max="3" width="12.0"/>
    <col customWidth="1" min="4" max="5" width="9.0"/>
    <col customWidth="1" min="6" max="6" width="6.86"/>
    <col customWidth="1" min="7" max="7" width="4.71"/>
    <col customWidth="1" min="8" max="8" width="8.29"/>
    <col customWidth="1" min="9" max="12" width="9.0"/>
    <col customWidth="1" min="13" max="14" width="8.86"/>
    <col customWidth="1" min="15" max="21" width="9.0"/>
    <col customWidth="1" min="22" max="22" width="9.14"/>
    <col customWidth="1" min="23" max="23" width="9.0"/>
    <col customWidth="1" min="24" max="24" width="28.0"/>
    <col customWidth="1" min="25" max="25" width="21.86"/>
    <col customWidth="1" min="26" max="26" width="16.0"/>
    <col customWidth="1" min="27" max="51" width="9.0"/>
    <col customWidth="1" min="52" max="52" width="27.43"/>
    <col customWidth="1" min="53" max="54" width="9.0"/>
  </cols>
  <sheetData>
    <row r="1">
      <c r="V1" s="1"/>
      <c r="X1" s="2"/>
      <c r="AX1" s="1"/>
      <c r="AZ1" s="2"/>
    </row>
    <row r="2">
      <c r="V2" s="1"/>
      <c r="X2" s="2"/>
      <c r="AX2" s="1"/>
      <c r="AZ2" s="2"/>
    </row>
    <row r="3">
      <c r="G3" s="3" t="s">
        <v>32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V3" s="1"/>
      <c r="X3" s="2"/>
      <c r="AI3" s="3" t="s">
        <v>33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/>
      <c r="AX3" s="1"/>
      <c r="AZ3" s="2"/>
    </row>
    <row r="4">
      <c r="K4" s="6"/>
      <c r="L4" s="6"/>
      <c r="M4" s="6"/>
      <c r="N4" s="6"/>
      <c r="V4" s="1"/>
      <c r="X4" s="2"/>
      <c r="AM4" s="6"/>
      <c r="AN4" s="6"/>
      <c r="AO4" s="6"/>
      <c r="AP4" s="6"/>
      <c r="AX4" s="1"/>
      <c r="AZ4" s="2"/>
    </row>
    <row r="5"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/>
      <c r="X5" s="10" t="s">
        <v>2</v>
      </c>
      <c r="Y5" s="10">
        <v>14.0</v>
      </c>
      <c r="Z5" s="11"/>
      <c r="AA5" s="11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9"/>
      <c r="AZ5" s="10" t="s">
        <v>2</v>
      </c>
      <c r="BA5" s="10">
        <v>14.0</v>
      </c>
      <c r="BB5" s="11"/>
    </row>
    <row r="6">
      <c r="B6" s="12" t="s">
        <v>3</v>
      </c>
      <c r="C6" s="13"/>
      <c r="D6" s="14">
        <v>1.0</v>
      </c>
      <c r="E6" s="15"/>
      <c r="F6" s="14">
        <v>2.0</v>
      </c>
      <c r="G6" s="15"/>
      <c r="H6" s="16">
        <v>3.0</v>
      </c>
      <c r="I6" s="16">
        <v>4.0</v>
      </c>
      <c r="J6" s="16">
        <v>5.0</v>
      </c>
      <c r="K6" s="16">
        <v>6.0</v>
      </c>
      <c r="L6" s="14">
        <v>7.0</v>
      </c>
      <c r="M6" s="15"/>
      <c r="N6" s="16">
        <v>8.0</v>
      </c>
      <c r="O6" s="16">
        <v>9.0</v>
      </c>
      <c r="P6" s="16">
        <v>10.0</v>
      </c>
      <c r="Q6" s="14">
        <v>11.0</v>
      </c>
      <c r="R6" s="15"/>
      <c r="S6" s="16">
        <v>12.0</v>
      </c>
      <c r="T6" s="16">
        <v>13.0</v>
      </c>
      <c r="U6" s="16">
        <v>14.0</v>
      </c>
      <c r="V6" s="17"/>
      <c r="W6" s="12" t="str">
        <f>B6</f>
        <v>Q</v>
      </c>
      <c r="X6" s="10" t="s">
        <v>4</v>
      </c>
      <c r="Y6" s="10">
        <v>207.0</v>
      </c>
      <c r="Z6" s="11"/>
      <c r="AA6" s="11"/>
      <c r="AD6" s="12" t="s">
        <v>3</v>
      </c>
      <c r="AE6" s="13"/>
      <c r="AF6" s="14">
        <v>1.0</v>
      </c>
      <c r="AG6" s="15"/>
      <c r="AH6" s="14">
        <v>2.0</v>
      </c>
      <c r="AI6" s="15"/>
      <c r="AJ6" s="16">
        <v>3.0</v>
      </c>
      <c r="AK6" s="16">
        <v>4.0</v>
      </c>
      <c r="AL6" s="16">
        <v>5.0</v>
      </c>
      <c r="AM6" s="16">
        <v>6.0</v>
      </c>
      <c r="AN6" s="14">
        <v>7.0</v>
      </c>
      <c r="AO6" s="15"/>
      <c r="AP6" s="16">
        <v>8.0</v>
      </c>
      <c r="AQ6" s="16">
        <v>9.0</v>
      </c>
      <c r="AR6" s="16">
        <v>10.0</v>
      </c>
      <c r="AS6" s="14">
        <v>11.0</v>
      </c>
      <c r="AT6" s="15"/>
      <c r="AU6" s="16">
        <v>12.0</v>
      </c>
      <c r="AV6" s="16">
        <v>13.0</v>
      </c>
      <c r="AW6" s="16">
        <v>14.0</v>
      </c>
      <c r="AX6" s="17"/>
      <c r="AY6" s="12" t="str">
        <f>AD6</f>
        <v>Q</v>
      </c>
      <c r="AZ6" s="10" t="s">
        <v>4</v>
      </c>
      <c r="BA6" s="10">
        <v>207.0</v>
      </c>
      <c r="BB6" s="11"/>
    </row>
    <row r="7">
      <c r="A7" s="1"/>
      <c r="B7" s="12"/>
      <c r="C7" s="1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7"/>
      <c r="W7" s="12"/>
      <c r="X7" s="10" t="s">
        <v>5</v>
      </c>
      <c r="Y7" s="10" t="str">
        <f>+Y5+Y6</f>
        <v>221</v>
      </c>
      <c r="Z7" s="11"/>
      <c r="AA7" s="11"/>
      <c r="AB7" s="1"/>
      <c r="AC7" s="1"/>
      <c r="AD7" s="12"/>
      <c r="AE7" s="13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7"/>
      <c r="AY7" s="12"/>
      <c r="AZ7" s="10" t="s">
        <v>5</v>
      </c>
      <c r="BA7" s="10" t="str">
        <f>+BA5+BA6</f>
        <v>221</v>
      </c>
      <c r="BB7" s="11"/>
    </row>
    <row r="8">
      <c r="A8" s="18" t="s">
        <v>6</v>
      </c>
      <c r="B8" s="12" t="s">
        <v>7</v>
      </c>
      <c r="C8" s="13"/>
      <c r="D8" s="19">
        <v>1.0</v>
      </c>
      <c r="E8" s="19">
        <v>2.0</v>
      </c>
      <c r="H8" s="19">
        <v>3.0</v>
      </c>
      <c r="I8" s="19">
        <v>4.0</v>
      </c>
      <c r="J8" s="19">
        <v>5.0</v>
      </c>
      <c r="K8" s="19">
        <v>6.0</v>
      </c>
      <c r="L8" s="19">
        <v>7.0</v>
      </c>
      <c r="M8" s="19">
        <v>8.0</v>
      </c>
      <c r="N8" s="19">
        <v>9.0</v>
      </c>
      <c r="O8" s="19">
        <v>10.0</v>
      </c>
      <c r="P8" s="19">
        <v>11.0</v>
      </c>
      <c r="Q8" s="19">
        <v>12.0</v>
      </c>
      <c r="R8" s="19">
        <v>13.0</v>
      </c>
      <c r="S8" s="19">
        <v>14.0</v>
      </c>
      <c r="T8" s="19">
        <v>15.0</v>
      </c>
      <c r="U8" s="19">
        <v>16.0</v>
      </c>
      <c r="V8" s="17"/>
      <c r="W8" s="12" t="str">
        <f t="shared" ref="W8:W21" si="1">B8</f>
        <v>P</v>
      </c>
      <c r="X8" s="20"/>
      <c r="Y8" s="11"/>
      <c r="Z8" s="11"/>
      <c r="AA8" s="11"/>
      <c r="AC8" s="18" t="s">
        <v>6</v>
      </c>
      <c r="AD8" s="12" t="s">
        <v>7</v>
      </c>
      <c r="AE8" s="13"/>
      <c r="AF8" s="19">
        <v>1.0</v>
      </c>
      <c r="AG8" s="19">
        <v>2.0</v>
      </c>
      <c r="AJ8" s="19">
        <v>3.0</v>
      </c>
      <c r="AK8" s="19">
        <v>4.0</v>
      </c>
      <c r="AL8" s="19">
        <v>5.0</v>
      </c>
      <c r="AM8" s="19">
        <v>6.0</v>
      </c>
      <c r="AN8" s="19">
        <v>7.0</v>
      </c>
      <c r="AO8" s="19">
        <v>8.0</v>
      </c>
      <c r="AP8" s="19">
        <v>9.0</v>
      </c>
      <c r="AQ8" s="19">
        <v>10.0</v>
      </c>
      <c r="AR8" s="19">
        <v>11.0</v>
      </c>
      <c r="AS8" s="19">
        <v>12.0</v>
      </c>
      <c r="AT8" s="19">
        <v>13.0</v>
      </c>
      <c r="AU8" s="19">
        <v>14.0</v>
      </c>
      <c r="AV8" s="19">
        <v>15.0</v>
      </c>
      <c r="AW8" s="19">
        <v>16.0</v>
      </c>
      <c r="AX8" s="17"/>
      <c r="AY8" s="12" t="str">
        <f t="shared" ref="AY8:AY21" si="2">AD8</f>
        <v>P</v>
      </c>
      <c r="AZ8" s="20"/>
      <c r="BA8" s="11"/>
      <c r="BB8" s="11"/>
    </row>
    <row r="9">
      <c r="A9" s="18" t="s">
        <v>6</v>
      </c>
      <c r="B9" s="12" t="s">
        <v>8</v>
      </c>
      <c r="C9" s="13"/>
      <c r="D9" s="21">
        <v>1.0</v>
      </c>
      <c r="E9" s="21">
        <v>2.0</v>
      </c>
      <c r="H9" s="21">
        <v>3.0</v>
      </c>
      <c r="I9" s="21">
        <v>4.0</v>
      </c>
      <c r="J9" s="21">
        <v>5.0</v>
      </c>
      <c r="K9" s="21">
        <v>6.0</v>
      </c>
      <c r="L9" s="21">
        <v>7.0</v>
      </c>
      <c r="M9" s="21">
        <v>8.0</v>
      </c>
      <c r="N9" s="21">
        <v>9.0</v>
      </c>
      <c r="O9" s="21">
        <v>10.0</v>
      </c>
      <c r="P9" s="21">
        <v>11.0</v>
      </c>
      <c r="Q9" s="21">
        <v>12.0</v>
      </c>
      <c r="R9" s="21">
        <v>13.0</v>
      </c>
      <c r="S9" s="21">
        <v>14.0</v>
      </c>
      <c r="T9" s="21">
        <v>15.0</v>
      </c>
      <c r="U9" s="21">
        <v>16.0</v>
      </c>
      <c r="V9" s="17"/>
      <c r="W9" s="12" t="str">
        <f t="shared" si="1"/>
        <v>N</v>
      </c>
      <c r="X9" s="22" t="s">
        <v>9</v>
      </c>
      <c r="Y9" s="23">
        <v>27.0</v>
      </c>
      <c r="Z9" s="24" t="str">
        <f>+Y9/Y12</f>
        <v>12%</v>
      </c>
      <c r="AA9" s="11"/>
      <c r="AC9" s="18" t="s">
        <v>6</v>
      </c>
      <c r="AD9" s="12" t="s">
        <v>8</v>
      </c>
      <c r="AE9" s="13"/>
      <c r="AF9" s="21">
        <v>1.0</v>
      </c>
      <c r="AG9" s="21">
        <v>2.0</v>
      </c>
      <c r="AJ9" s="21">
        <v>3.0</v>
      </c>
      <c r="AK9" s="21">
        <v>4.0</v>
      </c>
      <c r="AL9" s="21">
        <v>5.0</v>
      </c>
      <c r="AM9" s="21">
        <v>6.0</v>
      </c>
      <c r="AN9" s="21">
        <v>7.0</v>
      </c>
      <c r="AO9" s="21">
        <v>8.0</v>
      </c>
      <c r="AP9" s="21">
        <v>9.0</v>
      </c>
      <c r="AQ9" s="21">
        <v>10.0</v>
      </c>
      <c r="AR9" s="21">
        <v>11.0</v>
      </c>
      <c r="AS9" s="21">
        <v>12.0</v>
      </c>
      <c r="AT9" s="21">
        <v>13.0</v>
      </c>
      <c r="AU9" s="21">
        <v>14.0</v>
      </c>
      <c r="AV9" s="21">
        <v>15.0</v>
      </c>
      <c r="AW9" s="21">
        <v>16.0</v>
      </c>
      <c r="AX9" s="17"/>
      <c r="AY9" s="12" t="str">
        <f t="shared" si="2"/>
        <v>N</v>
      </c>
      <c r="AZ9" s="22" t="s">
        <v>10</v>
      </c>
      <c r="BA9" s="23">
        <v>27.0</v>
      </c>
      <c r="BB9" s="24" t="str">
        <f>+BA9/BA12</f>
        <v>12%</v>
      </c>
    </row>
    <row r="10">
      <c r="A10" s="18" t="s">
        <v>6</v>
      </c>
      <c r="B10" s="12" t="s">
        <v>11</v>
      </c>
      <c r="C10" s="13"/>
      <c r="D10" s="19">
        <v>1.0</v>
      </c>
      <c r="E10" s="19">
        <v>2.0</v>
      </c>
      <c r="H10" s="19">
        <v>3.0</v>
      </c>
      <c r="I10" s="19">
        <v>4.0</v>
      </c>
      <c r="J10" s="19">
        <v>5.0</v>
      </c>
      <c r="K10" s="19">
        <v>6.0</v>
      </c>
      <c r="L10" s="19">
        <v>7.0</v>
      </c>
      <c r="M10" s="19">
        <v>8.0</v>
      </c>
      <c r="N10" s="19">
        <v>9.0</v>
      </c>
      <c r="O10" s="19">
        <v>10.0</v>
      </c>
      <c r="P10" s="19">
        <v>11.0</v>
      </c>
      <c r="Q10" s="19">
        <v>12.0</v>
      </c>
      <c r="R10" s="19">
        <v>13.0</v>
      </c>
      <c r="S10" s="19">
        <v>14.0</v>
      </c>
      <c r="T10" s="19">
        <v>15.0</v>
      </c>
      <c r="U10" s="19">
        <v>16.0</v>
      </c>
      <c r="V10" s="17"/>
      <c r="W10" s="12" t="str">
        <f t="shared" si="1"/>
        <v>M</v>
      </c>
      <c r="X10" s="25" t="s">
        <v>12</v>
      </c>
      <c r="Y10" s="23">
        <v>180.0</v>
      </c>
      <c r="Z10" s="24" t="str">
        <f>+Y10/Y12</f>
        <v>81%</v>
      </c>
      <c r="AA10" s="11"/>
      <c r="AC10" s="18" t="s">
        <v>6</v>
      </c>
      <c r="AD10" s="12" t="s">
        <v>11</v>
      </c>
      <c r="AE10" s="13"/>
      <c r="AF10" s="19">
        <v>1.0</v>
      </c>
      <c r="AG10" s="19">
        <v>2.0</v>
      </c>
      <c r="AJ10" s="19">
        <v>3.0</v>
      </c>
      <c r="AK10" s="19">
        <v>4.0</v>
      </c>
      <c r="AL10" s="19">
        <v>5.0</v>
      </c>
      <c r="AM10" s="19">
        <v>6.0</v>
      </c>
      <c r="AN10" s="19">
        <v>7.0</v>
      </c>
      <c r="AO10" s="19">
        <v>8.0</v>
      </c>
      <c r="AP10" s="19">
        <v>9.0</v>
      </c>
      <c r="AQ10" s="19">
        <v>10.0</v>
      </c>
      <c r="AR10" s="19">
        <v>11.0</v>
      </c>
      <c r="AS10" s="19">
        <v>12.0</v>
      </c>
      <c r="AT10" s="19">
        <v>13.0</v>
      </c>
      <c r="AU10" s="19">
        <v>14.0</v>
      </c>
      <c r="AV10" s="19">
        <v>15.0</v>
      </c>
      <c r="AW10" s="19">
        <v>16.0</v>
      </c>
      <c r="AX10" s="17"/>
      <c r="AY10" s="12" t="str">
        <f t="shared" si="2"/>
        <v>M</v>
      </c>
      <c r="AZ10" s="25" t="s">
        <v>13</v>
      </c>
      <c r="BA10" s="23">
        <v>180.0</v>
      </c>
      <c r="BB10" s="24" t="str">
        <f>+BA10/BA12</f>
        <v>81%</v>
      </c>
    </row>
    <row r="11">
      <c r="A11" s="18" t="s">
        <v>6</v>
      </c>
      <c r="B11" s="12" t="s">
        <v>14</v>
      </c>
      <c r="C11" s="13"/>
      <c r="D11" s="19">
        <v>1.0</v>
      </c>
      <c r="E11" s="19">
        <v>2.0</v>
      </c>
      <c r="H11" s="19">
        <v>3.0</v>
      </c>
      <c r="I11" s="19">
        <v>4.0</v>
      </c>
      <c r="J11" s="19">
        <v>5.0</v>
      </c>
      <c r="K11" s="19">
        <v>6.0</v>
      </c>
      <c r="L11" s="19">
        <v>7.0</v>
      </c>
      <c r="M11" s="19">
        <v>8.0</v>
      </c>
      <c r="N11" s="19">
        <v>9.0</v>
      </c>
      <c r="O11" s="19">
        <v>10.0</v>
      </c>
      <c r="P11" s="19">
        <v>11.0</v>
      </c>
      <c r="Q11" s="19">
        <v>12.0</v>
      </c>
      <c r="R11" s="19">
        <v>13.0</v>
      </c>
      <c r="S11" s="19">
        <v>14.0</v>
      </c>
      <c r="T11" s="19">
        <v>15.0</v>
      </c>
      <c r="U11" s="19">
        <v>16.0</v>
      </c>
      <c r="V11" s="17"/>
      <c r="W11" s="12" t="str">
        <f t="shared" si="1"/>
        <v>L</v>
      </c>
      <c r="X11" s="26" t="s">
        <v>15</v>
      </c>
      <c r="Y11" s="23">
        <v>14.0</v>
      </c>
      <c r="Z11" s="24" t="str">
        <f>+Y11/Y12</f>
        <v>6%</v>
      </c>
      <c r="AA11" s="11"/>
      <c r="AC11" s="18" t="s">
        <v>6</v>
      </c>
      <c r="AD11" s="12" t="s">
        <v>14</v>
      </c>
      <c r="AE11" s="13"/>
      <c r="AF11" s="19">
        <v>1.0</v>
      </c>
      <c r="AG11" s="19">
        <v>2.0</v>
      </c>
      <c r="AJ11" s="19">
        <v>3.0</v>
      </c>
      <c r="AK11" s="19">
        <v>4.0</v>
      </c>
      <c r="AL11" s="19">
        <v>5.0</v>
      </c>
      <c r="AM11" s="19">
        <v>6.0</v>
      </c>
      <c r="AN11" s="19">
        <v>7.0</v>
      </c>
      <c r="AO11" s="19">
        <v>8.0</v>
      </c>
      <c r="AP11" s="19">
        <v>9.0</v>
      </c>
      <c r="AQ11" s="19">
        <v>10.0</v>
      </c>
      <c r="AR11" s="19">
        <v>11.0</v>
      </c>
      <c r="AS11" s="19">
        <v>12.0</v>
      </c>
      <c r="AT11" s="19">
        <v>13.0</v>
      </c>
      <c r="AU11" s="19">
        <v>14.0</v>
      </c>
      <c r="AV11" s="19">
        <v>15.0</v>
      </c>
      <c r="AW11" s="19">
        <v>16.0</v>
      </c>
      <c r="AX11" s="17"/>
      <c r="AY11" s="12" t="str">
        <f t="shared" si="2"/>
        <v>L</v>
      </c>
      <c r="AZ11" s="26" t="s">
        <v>16</v>
      </c>
      <c r="BA11" s="23">
        <v>14.0</v>
      </c>
      <c r="BB11" s="24" t="str">
        <f>+BA11/BA12</f>
        <v>6%</v>
      </c>
    </row>
    <row r="12">
      <c r="A12" s="1" t="s">
        <v>17</v>
      </c>
      <c r="B12" s="12" t="s">
        <v>18</v>
      </c>
      <c r="C12" s="13"/>
      <c r="D12" s="19">
        <v>1.0</v>
      </c>
      <c r="E12" s="19">
        <v>2.0</v>
      </c>
      <c r="H12" s="19">
        <v>3.0</v>
      </c>
      <c r="I12" s="19">
        <v>4.0</v>
      </c>
      <c r="J12" s="19">
        <v>5.0</v>
      </c>
      <c r="K12" s="19">
        <v>6.0</v>
      </c>
      <c r="L12" s="19">
        <v>7.0</v>
      </c>
      <c r="M12" s="19">
        <v>8.0</v>
      </c>
      <c r="N12" s="19">
        <v>9.0</v>
      </c>
      <c r="O12" s="19">
        <v>10.0</v>
      </c>
      <c r="P12" s="19">
        <v>11.0</v>
      </c>
      <c r="Q12" s="19">
        <v>12.0</v>
      </c>
      <c r="R12" s="19">
        <v>13.0</v>
      </c>
      <c r="S12" s="19">
        <v>14.0</v>
      </c>
      <c r="T12" s="19">
        <v>15.0</v>
      </c>
      <c r="U12" s="19">
        <v>16.0</v>
      </c>
      <c r="V12" s="17"/>
      <c r="W12" s="12" t="str">
        <f t="shared" si="1"/>
        <v>K</v>
      </c>
      <c r="X12" s="28" t="s">
        <v>19</v>
      </c>
      <c r="Y12" s="29" t="str">
        <f t="shared" ref="Y12:Z12" si="3">SUM(Y9:Y11)</f>
        <v>221</v>
      </c>
      <c r="Z12" s="30" t="str">
        <f t="shared" si="3"/>
        <v>100%</v>
      </c>
      <c r="AA12" s="11"/>
      <c r="AC12" s="1" t="s">
        <v>17</v>
      </c>
      <c r="AD12" s="12" t="s">
        <v>18</v>
      </c>
      <c r="AE12" s="13"/>
      <c r="AF12" s="19">
        <v>1.0</v>
      </c>
      <c r="AG12" s="19">
        <v>2.0</v>
      </c>
      <c r="AJ12" s="19">
        <v>3.0</v>
      </c>
      <c r="AK12" s="19">
        <v>4.0</v>
      </c>
      <c r="AL12" s="19">
        <v>5.0</v>
      </c>
      <c r="AM12" s="19">
        <v>6.0</v>
      </c>
      <c r="AN12" s="19">
        <v>7.0</v>
      </c>
      <c r="AO12" s="19">
        <v>8.0</v>
      </c>
      <c r="AP12" s="19">
        <v>9.0</v>
      </c>
      <c r="AQ12" s="19">
        <v>10.0</v>
      </c>
      <c r="AR12" s="19">
        <v>11.0</v>
      </c>
      <c r="AS12" s="19">
        <v>12.0</v>
      </c>
      <c r="AT12" s="19">
        <v>13.0</v>
      </c>
      <c r="AU12" s="19">
        <v>14.0</v>
      </c>
      <c r="AV12" s="19">
        <v>15.0</v>
      </c>
      <c r="AW12" s="19">
        <v>16.0</v>
      </c>
      <c r="AX12" s="17"/>
      <c r="AY12" s="12" t="str">
        <f t="shared" si="2"/>
        <v>K</v>
      </c>
      <c r="AZ12" s="28" t="s">
        <v>19</v>
      </c>
      <c r="BA12" s="29" t="str">
        <f t="shared" ref="BA12:BB12" si="4">SUM(BA9:BA11)</f>
        <v>221</v>
      </c>
      <c r="BB12" s="30" t="str">
        <f t="shared" si="4"/>
        <v>100%</v>
      </c>
    </row>
    <row r="13">
      <c r="A13" s="1" t="s">
        <v>17</v>
      </c>
      <c r="B13" s="12" t="s">
        <v>20</v>
      </c>
      <c r="C13" s="13"/>
      <c r="D13" s="19">
        <v>1.0</v>
      </c>
      <c r="E13" s="19">
        <v>2.0</v>
      </c>
      <c r="H13" s="19">
        <v>3.0</v>
      </c>
      <c r="I13" s="19">
        <v>4.0</v>
      </c>
      <c r="J13" s="19">
        <v>5.0</v>
      </c>
      <c r="K13" s="19">
        <v>6.0</v>
      </c>
      <c r="L13" s="19">
        <v>7.0</v>
      </c>
      <c r="M13" s="19">
        <v>8.0</v>
      </c>
      <c r="N13" s="19">
        <v>9.0</v>
      </c>
      <c r="O13" s="19">
        <v>10.0</v>
      </c>
      <c r="P13" s="19">
        <v>11.0</v>
      </c>
      <c r="Q13" s="19">
        <v>12.0</v>
      </c>
      <c r="R13" s="19">
        <v>13.0</v>
      </c>
      <c r="S13" s="19">
        <v>14.0</v>
      </c>
      <c r="T13" s="19">
        <v>15.0</v>
      </c>
      <c r="U13" s="19">
        <v>16.0</v>
      </c>
      <c r="V13" s="17"/>
      <c r="W13" s="12" t="str">
        <f t="shared" si="1"/>
        <v>J</v>
      </c>
      <c r="X13" s="31" t="s">
        <v>21</v>
      </c>
      <c r="Y13" s="31">
        <v>1.0</v>
      </c>
      <c r="Z13" s="32" t="s">
        <v>22</v>
      </c>
      <c r="AA13" s="11"/>
      <c r="AC13" s="1" t="s">
        <v>17</v>
      </c>
      <c r="AD13" s="12" t="s">
        <v>20</v>
      </c>
      <c r="AE13" s="13"/>
      <c r="AF13" s="19">
        <v>1.0</v>
      </c>
      <c r="AG13" s="19">
        <v>2.0</v>
      </c>
      <c r="AJ13" s="19">
        <v>3.0</v>
      </c>
      <c r="AK13" s="19">
        <v>4.0</v>
      </c>
      <c r="AL13" s="19">
        <v>5.0</v>
      </c>
      <c r="AM13" s="19">
        <v>6.0</v>
      </c>
      <c r="AN13" s="19">
        <v>7.0</v>
      </c>
      <c r="AO13" s="19">
        <v>8.0</v>
      </c>
      <c r="AP13" s="19">
        <v>9.0</v>
      </c>
      <c r="AQ13" s="19">
        <v>10.0</v>
      </c>
      <c r="AR13" s="19">
        <v>11.0</v>
      </c>
      <c r="AS13" s="19">
        <v>12.0</v>
      </c>
      <c r="AT13" s="19">
        <v>13.0</v>
      </c>
      <c r="AU13" s="19">
        <v>14.0</v>
      </c>
      <c r="AV13" s="19">
        <v>15.0</v>
      </c>
      <c r="AW13" s="19">
        <v>16.0</v>
      </c>
      <c r="AX13" s="17"/>
      <c r="AY13" s="12" t="str">
        <f t="shared" si="2"/>
        <v>J</v>
      </c>
      <c r="AZ13" s="31" t="s">
        <v>21</v>
      </c>
      <c r="BA13" s="31">
        <v>1.0</v>
      </c>
      <c r="BB13" s="32" t="s">
        <v>22</v>
      </c>
    </row>
    <row r="14">
      <c r="A14" s="1" t="s">
        <v>17</v>
      </c>
      <c r="B14" s="12" t="s">
        <v>23</v>
      </c>
      <c r="C14" s="13"/>
      <c r="H14" s="19">
        <v>1.0</v>
      </c>
      <c r="I14" s="19">
        <v>2.0</v>
      </c>
      <c r="J14" s="19">
        <v>3.0</v>
      </c>
      <c r="K14" s="19">
        <v>4.0</v>
      </c>
      <c r="L14" s="19">
        <v>5.0</v>
      </c>
      <c r="M14" s="19">
        <v>6.0</v>
      </c>
      <c r="N14" s="19">
        <v>7.0</v>
      </c>
      <c r="O14" s="19">
        <v>8.0</v>
      </c>
      <c r="P14" s="19">
        <v>9.0</v>
      </c>
      <c r="Q14" s="19">
        <v>10.0</v>
      </c>
      <c r="R14" s="19">
        <v>11.0</v>
      </c>
      <c r="S14" s="19">
        <v>12.0</v>
      </c>
      <c r="T14" s="19">
        <v>13.0</v>
      </c>
      <c r="U14" s="19">
        <v>14.0</v>
      </c>
      <c r="V14" s="17"/>
      <c r="W14" s="12" t="str">
        <f t="shared" si="1"/>
        <v>H</v>
      </c>
      <c r="X14" s="2"/>
      <c r="AA14" s="11"/>
      <c r="AC14" s="1" t="s">
        <v>17</v>
      </c>
      <c r="AD14" s="12" t="s">
        <v>23</v>
      </c>
      <c r="AE14" s="13"/>
      <c r="AJ14" s="19">
        <v>1.0</v>
      </c>
      <c r="AK14" s="19">
        <v>2.0</v>
      </c>
      <c r="AL14" s="19">
        <v>3.0</v>
      </c>
      <c r="AM14" s="19">
        <v>4.0</v>
      </c>
      <c r="AN14" s="19">
        <v>5.0</v>
      </c>
      <c r="AO14" s="19">
        <v>6.0</v>
      </c>
      <c r="AP14" s="19">
        <v>7.0</v>
      </c>
      <c r="AQ14" s="19">
        <v>8.0</v>
      </c>
      <c r="AR14" s="19">
        <v>9.0</v>
      </c>
      <c r="AS14" s="19">
        <v>10.0</v>
      </c>
      <c r="AT14" s="19">
        <v>11.0</v>
      </c>
      <c r="AU14" s="19">
        <v>12.0</v>
      </c>
      <c r="AV14" s="19">
        <v>13.0</v>
      </c>
      <c r="AW14" s="19">
        <v>14.0</v>
      </c>
      <c r="AX14" s="17"/>
      <c r="AY14" s="12" t="str">
        <f t="shared" si="2"/>
        <v>H</v>
      </c>
      <c r="AZ14" s="2"/>
    </row>
    <row r="15">
      <c r="A15" s="1" t="s">
        <v>17</v>
      </c>
      <c r="B15" s="12" t="s">
        <v>24</v>
      </c>
      <c r="C15" s="13"/>
      <c r="H15" s="19">
        <v>1.0</v>
      </c>
      <c r="I15" s="19">
        <v>2.0</v>
      </c>
      <c r="J15" s="19">
        <v>3.0</v>
      </c>
      <c r="K15" s="19">
        <v>4.0</v>
      </c>
      <c r="L15" s="19">
        <v>5.0</v>
      </c>
      <c r="M15" s="19">
        <v>6.0</v>
      </c>
      <c r="N15" s="19">
        <v>7.0</v>
      </c>
      <c r="O15" s="19">
        <v>8.0</v>
      </c>
      <c r="P15" s="19">
        <v>9.0</v>
      </c>
      <c r="Q15" s="19">
        <v>10.0</v>
      </c>
      <c r="R15" s="19">
        <v>11.0</v>
      </c>
      <c r="S15" s="19">
        <v>12.0</v>
      </c>
      <c r="T15" s="19">
        <v>13.0</v>
      </c>
      <c r="U15" s="19">
        <v>14.0</v>
      </c>
      <c r="V15" s="17"/>
      <c r="W15" s="12" t="str">
        <f t="shared" si="1"/>
        <v>G</v>
      </c>
      <c r="X15" s="33">
        <v>16.0</v>
      </c>
      <c r="Y15" s="34" t="s">
        <v>25</v>
      </c>
      <c r="AA15" s="11"/>
      <c r="AC15" s="1" t="s">
        <v>17</v>
      </c>
      <c r="AD15" s="12" t="s">
        <v>24</v>
      </c>
      <c r="AE15" s="13"/>
      <c r="AJ15" s="19">
        <v>1.0</v>
      </c>
      <c r="AK15" s="19">
        <v>2.0</v>
      </c>
      <c r="AL15" s="19">
        <v>3.0</v>
      </c>
      <c r="AM15" s="19">
        <v>4.0</v>
      </c>
      <c r="AN15" s="19">
        <v>5.0</v>
      </c>
      <c r="AO15" s="19">
        <v>6.0</v>
      </c>
      <c r="AP15" s="19">
        <v>7.0</v>
      </c>
      <c r="AQ15" s="19">
        <v>8.0</v>
      </c>
      <c r="AR15" s="19">
        <v>9.0</v>
      </c>
      <c r="AS15" s="19">
        <v>10.0</v>
      </c>
      <c r="AT15" s="19">
        <v>11.0</v>
      </c>
      <c r="AU15" s="19">
        <v>12.0</v>
      </c>
      <c r="AV15" s="19">
        <v>13.0</v>
      </c>
      <c r="AW15" s="19">
        <v>14.0</v>
      </c>
      <c r="AX15" s="17"/>
      <c r="AY15" s="12" t="str">
        <f t="shared" si="2"/>
        <v>G</v>
      </c>
      <c r="AZ15" s="33">
        <v>16.0</v>
      </c>
      <c r="BA15" s="34" t="s">
        <v>25</v>
      </c>
    </row>
    <row r="16">
      <c r="A16" s="1" t="s">
        <v>17</v>
      </c>
      <c r="B16" s="12" t="s">
        <v>26</v>
      </c>
      <c r="C16" s="13"/>
      <c r="H16" s="19">
        <v>1.0</v>
      </c>
      <c r="I16" s="19">
        <v>2.0</v>
      </c>
      <c r="J16" s="19">
        <v>3.0</v>
      </c>
      <c r="K16" s="19">
        <v>4.0</v>
      </c>
      <c r="L16" s="19">
        <v>5.0</v>
      </c>
      <c r="M16" s="19">
        <v>6.0</v>
      </c>
      <c r="N16" s="19">
        <v>7.0</v>
      </c>
      <c r="O16" s="19">
        <v>8.0</v>
      </c>
      <c r="P16" s="19">
        <v>9.0</v>
      </c>
      <c r="Q16" s="19">
        <v>10.0</v>
      </c>
      <c r="R16" s="19">
        <v>11.0</v>
      </c>
      <c r="S16" s="19">
        <v>12.0</v>
      </c>
      <c r="T16" s="19">
        <v>13.0</v>
      </c>
      <c r="U16" s="19">
        <v>14.0</v>
      </c>
      <c r="V16" s="17"/>
      <c r="W16" s="12" t="str">
        <f t="shared" si="1"/>
        <v>F</v>
      </c>
      <c r="AC16" s="1" t="s">
        <v>17</v>
      </c>
      <c r="AD16" s="12" t="s">
        <v>26</v>
      </c>
      <c r="AE16" s="13"/>
      <c r="AJ16" s="19">
        <v>1.0</v>
      </c>
      <c r="AK16" s="19">
        <v>2.0</v>
      </c>
      <c r="AL16" s="19">
        <v>3.0</v>
      </c>
      <c r="AM16" s="19">
        <v>4.0</v>
      </c>
      <c r="AN16" s="19">
        <v>5.0</v>
      </c>
      <c r="AO16" s="19">
        <v>6.0</v>
      </c>
      <c r="AP16" s="19">
        <v>7.0</v>
      </c>
      <c r="AQ16" s="19">
        <v>8.0</v>
      </c>
      <c r="AR16" s="19">
        <v>9.0</v>
      </c>
      <c r="AS16" s="19">
        <v>10.0</v>
      </c>
      <c r="AT16" s="19">
        <v>11.0</v>
      </c>
      <c r="AU16" s="19">
        <v>12.0</v>
      </c>
      <c r="AV16" s="19">
        <v>13.0</v>
      </c>
      <c r="AW16" s="19">
        <v>14.0</v>
      </c>
      <c r="AX16" s="17"/>
      <c r="AY16" s="12" t="str">
        <f t="shared" si="2"/>
        <v>F</v>
      </c>
    </row>
    <row r="17">
      <c r="A17" s="1" t="s">
        <v>17</v>
      </c>
      <c r="B17" s="12" t="s">
        <v>27</v>
      </c>
      <c r="C17" s="13"/>
      <c r="H17" s="19">
        <v>1.0</v>
      </c>
      <c r="I17" s="19">
        <v>2.0</v>
      </c>
      <c r="J17" s="19">
        <v>3.0</v>
      </c>
      <c r="K17" s="19">
        <v>4.0</v>
      </c>
      <c r="L17" s="19">
        <v>5.0</v>
      </c>
      <c r="M17" s="19">
        <v>6.0</v>
      </c>
      <c r="N17" s="19">
        <v>7.0</v>
      </c>
      <c r="O17" s="19">
        <v>8.0</v>
      </c>
      <c r="P17" s="19">
        <v>9.0</v>
      </c>
      <c r="Q17" s="19">
        <v>10.0</v>
      </c>
      <c r="R17" s="19">
        <v>11.0</v>
      </c>
      <c r="S17" s="19">
        <v>12.0</v>
      </c>
      <c r="T17" s="19">
        <v>13.0</v>
      </c>
      <c r="U17" s="19">
        <v>14.0</v>
      </c>
      <c r="V17" s="17"/>
      <c r="W17" s="12" t="str">
        <f t="shared" si="1"/>
        <v>E</v>
      </c>
      <c r="X17" s="2"/>
      <c r="AC17" s="1" t="s">
        <v>17</v>
      </c>
      <c r="AD17" s="12" t="s">
        <v>27</v>
      </c>
      <c r="AE17" s="13"/>
      <c r="AJ17" s="19">
        <v>1.0</v>
      </c>
      <c r="AK17" s="19">
        <v>2.0</v>
      </c>
      <c r="AL17" s="19">
        <v>3.0</v>
      </c>
      <c r="AM17" s="19">
        <v>4.0</v>
      </c>
      <c r="AN17" s="19">
        <v>5.0</v>
      </c>
      <c r="AO17" s="19">
        <v>6.0</v>
      </c>
      <c r="AP17" s="19">
        <v>7.0</v>
      </c>
      <c r="AQ17" s="19">
        <v>8.0</v>
      </c>
      <c r="AR17" s="19">
        <v>9.0</v>
      </c>
      <c r="AS17" s="19">
        <v>10.0</v>
      </c>
      <c r="AT17" s="19">
        <v>11.0</v>
      </c>
      <c r="AU17" s="19">
        <v>12.0</v>
      </c>
      <c r="AV17" s="19">
        <v>13.0</v>
      </c>
      <c r="AW17" s="19">
        <v>14.0</v>
      </c>
      <c r="AX17" s="17"/>
      <c r="AY17" s="12" t="str">
        <f t="shared" si="2"/>
        <v>E</v>
      </c>
      <c r="AZ17" s="2"/>
    </row>
    <row r="18">
      <c r="A18" s="1" t="s">
        <v>17</v>
      </c>
      <c r="B18" s="12" t="s">
        <v>28</v>
      </c>
      <c r="C18" s="13"/>
      <c r="H18" s="19">
        <v>1.0</v>
      </c>
      <c r="I18" s="19">
        <v>2.0</v>
      </c>
      <c r="J18" s="19">
        <v>3.0</v>
      </c>
      <c r="K18" s="19">
        <v>4.0</v>
      </c>
      <c r="L18" s="19">
        <v>5.0</v>
      </c>
      <c r="M18" s="19">
        <v>6.0</v>
      </c>
      <c r="N18" s="19">
        <v>7.0</v>
      </c>
      <c r="O18" s="19">
        <v>8.0</v>
      </c>
      <c r="P18" s="19">
        <v>9.0</v>
      </c>
      <c r="Q18" s="19">
        <v>10.0</v>
      </c>
      <c r="R18" s="19">
        <v>11.0</v>
      </c>
      <c r="S18" s="19">
        <v>12.0</v>
      </c>
      <c r="T18" s="19">
        <v>13.0</v>
      </c>
      <c r="U18" s="19">
        <v>14.0</v>
      </c>
      <c r="V18" s="17"/>
      <c r="W18" s="12" t="str">
        <f t="shared" si="1"/>
        <v>D</v>
      </c>
      <c r="X18" s="2"/>
      <c r="AC18" s="1" t="s">
        <v>17</v>
      </c>
      <c r="AD18" s="12" t="s">
        <v>28</v>
      </c>
      <c r="AE18" s="13"/>
      <c r="AJ18" s="19">
        <v>1.0</v>
      </c>
      <c r="AK18" s="19">
        <v>2.0</v>
      </c>
      <c r="AL18" s="19">
        <v>3.0</v>
      </c>
      <c r="AM18" s="19">
        <v>4.0</v>
      </c>
      <c r="AN18" s="19">
        <v>5.0</v>
      </c>
      <c r="AO18" s="19">
        <v>6.0</v>
      </c>
      <c r="AP18" s="19">
        <v>7.0</v>
      </c>
      <c r="AQ18" s="19">
        <v>8.0</v>
      </c>
      <c r="AR18" s="19">
        <v>9.0</v>
      </c>
      <c r="AS18" s="19">
        <v>10.0</v>
      </c>
      <c r="AT18" s="19">
        <v>11.0</v>
      </c>
      <c r="AU18" s="19">
        <v>12.0</v>
      </c>
      <c r="AV18" s="19">
        <v>13.0</v>
      </c>
      <c r="AW18" s="19">
        <v>14.0</v>
      </c>
      <c r="AX18" s="17"/>
      <c r="AY18" s="12" t="str">
        <f t="shared" si="2"/>
        <v>D</v>
      </c>
      <c r="AZ18" s="2"/>
    </row>
    <row r="19">
      <c r="A19" s="1" t="s">
        <v>17</v>
      </c>
      <c r="B19" s="12" t="s">
        <v>29</v>
      </c>
      <c r="C19" s="13"/>
      <c r="H19" s="19">
        <v>1.0</v>
      </c>
      <c r="I19" s="19">
        <v>2.0</v>
      </c>
      <c r="J19" s="19">
        <v>3.0</v>
      </c>
      <c r="K19" s="19">
        <v>4.0</v>
      </c>
      <c r="L19" s="19">
        <v>5.0</v>
      </c>
      <c r="M19" s="19">
        <v>6.0</v>
      </c>
      <c r="N19" s="19">
        <v>7.0</v>
      </c>
      <c r="O19" s="19">
        <v>8.0</v>
      </c>
      <c r="P19" s="19">
        <v>9.0</v>
      </c>
      <c r="Q19" s="19">
        <v>10.0</v>
      </c>
      <c r="R19" s="19">
        <v>11.0</v>
      </c>
      <c r="S19" s="19">
        <v>12.0</v>
      </c>
      <c r="T19" s="19">
        <v>13.0</v>
      </c>
      <c r="U19" s="19">
        <v>14.0</v>
      </c>
      <c r="V19" s="17"/>
      <c r="W19" s="12" t="str">
        <f t="shared" si="1"/>
        <v>C</v>
      </c>
      <c r="X19" s="2"/>
      <c r="AC19" s="1" t="s">
        <v>17</v>
      </c>
      <c r="AD19" s="12" t="s">
        <v>29</v>
      </c>
      <c r="AE19" s="13"/>
      <c r="AJ19" s="19">
        <v>1.0</v>
      </c>
      <c r="AK19" s="19">
        <v>2.0</v>
      </c>
      <c r="AL19" s="19">
        <v>3.0</v>
      </c>
      <c r="AM19" s="19">
        <v>4.0</v>
      </c>
      <c r="AN19" s="19">
        <v>5.0</v>
      </c>
      <c r="AO19" s="19">
        <v>6.0</v>
      </c>
      <c r="AP19" s="19">
        <v>7.0</v>
      </c>
      <c r="AQ19" s="19">
        <v>8.0</v>
      </c>
      <c r="AR19" s="19">
        <v>9.0</v>
      </c>
      <c r="AS19" s="19">
        <v>10.0</v>
      </c>
      <c r="AT19" s="19">
        <v>11.0</v>
      </c>
      <c r="AU19" s="19">
        <v>12.0</v>
      </c>
      <c r="AV19" s="19">
        <v>13.0</v>
      </c>
      <c r="AW19" s="19">
        <v>14.0</v>
      </c>
      <c r="AX19" s="17"/>
      <c r="AY19" s="12" t="str">
        <f t="shared" si="2"/>
        <v>C</v>
      </c>
      <c r="AZ19" s="2"/>
    </row>
    <row r="20">
      <c r="B20" s="12" t="s">
        <v>30</v>
      </c>
      <c r="C20" s="13"/>
      <c r="H20" s="35">
        <v>1.0</v>
      </c>
      <c r="I20" s="35">
        <v>2.0</v>
      </c>
      <c r="J20" s="35">
        <v>3.0</v>
      </c>
      <c r="K20" s="35">
        <v>4.0</v>
      </c>
      <c r="L20" s="35">
        <v>5.0</v>
      </c>
      <c r="M20" s="35">
        <v>6.0</v>
      </c>
      <c r="N20" s="35">
        <v>7.0</v>
      </c>
      <c r="O20" s="35">
        <v>8.0</v>
      </c>
      <c r="P20" s="35">
        <v>9.0</v>
      </c>
      <c r="Q20" s="35">
        <v>10.0</v>
      </c>
      <c r="R20" s="35">
        <v>11.0</v>
      </c>
      <c r="S20" s="35">
        <v>12.0</v>
      </c>
      <c r="T20" s="35">
        <v>13.0</v>
      </c>
      <c r="U20" s="35">
        <v>14.0</v>
      </c>
      <c r="V20" s="17"/>
      <c r="W20" s="12" t="str">
        <f t="shared" si="1"/>
        <v>B</v>
      </c>
      <c r="X20" s="2"/>
      <c r="AD20" s="12" t="s">
        <v>30</v>
      </c>
      <c r="AE20" s="13"/>
      <c r="AJ20" s="35">
        <v>1.0</v>
      </c>
      <c r="AK20" s="35">
        <v>2.0</v>
      </c>
      <c r="AL20" s="35">
        <v>3.0</v>
      </c>
      <c r="AM20" s="35">
        <v>4.0</v>
      </c>
      <c r="AN20" s="35">
        <v>5.0</v>
      </c>
      <c r="AO20" s="35">
        <v>6.0</v>
      </c>
      <c r="AP20" s="35">
        <v>7.0</v>
      </c>
      <c r="AQ20" s="35">
        <v>8.0</v>
      </c>
      <c r="AR20" s="35">
        <v>9.0</v>
      </c>
      <c r="AS20" s="35">
        <v>10.0</v>
      </c>
      <c r="AT20" s="35">
        <v>11.0</v>
      </c>
      <c r="AU20" s="35">
        <v>12.0</v>
      </c>
      <c r="AV20" s="35">
        <v>13.0</v>
      </c>
      <c r="AW20" s="35">
        <v>14.0</v>
      </c>
      <c r="AX20" s="17"/>
      <c r="AY20" s="12" t="str">
        <f t="shared" si="2"/>
        <v>B</v>
      </c>
      <c r="AZ20" s="2"/>
    </row>
    <row r="21" ht="33.0" customHeight="1">
      <c r="A21" s="36"/>
      <c r="B21" s="37" t="s">
        <v>31</v>
      </c>
      <c r="C21" s="38"/>
      <c r="D21" s="36"/>
      <c r="E21" s="36"/>
      <c r="F21" s="36"/>
      <c r="G21" s="36"/>
      <c r="I21" s="39">
        <v>2.0</v>
      </c>
      <c r="J21" s="39">
        <v>3.0</v>
      </c>
      <c r="K21" s="39">
        <v>4.0</v>
      </c>
      <c r="L21" s="39">
        <v>5.0</v>
      </c>
      <c r="M21" s="39">
        <v>6.0</v>
      </c>
      <c r="N21" s="39">
        <v>7.0</v>
      </c>
      <c r="O21" s="39">
        <v>8.0</v>
      </c>
      <c r="P21" s="39">
        <v>9.0</v>
      </c>
      <c r="Q21" s="39">
        <v>10.0</v>
      </c>
      <c r="R21" s="39">
        <v>11.0</v>
      </c>
      <c r="S21" s="39">
        <v>12.0</v>
      </c>
      <c r="T21" s="39">
        <v>13.0</v>
      </c>
      <c r="U21" s="40">
        <v>14.0</v>
      </c>
      <c r="V21" s="42"/>
      <c r="W21" s="37" t="str">
        <f t="shared" si="1"/>
        <v>A</v>
      </c>
      <c r="X21" s="43"/>
      <c r="Y21" s="36"/>
      <c r="Z21" s="36"/>
      <c r="AA21" s="36"/>
      <c r="AB21" s="36"/>
      <c r="AC21" s="36"/>
      <c r="AD21" s="37" t="s">
        <v>31</v>
      </c>
      <c r="AE21" s="38"/>
      <c r="AF21" s="36"/>
      <c r="AG21" s="36"/>
      <c r="AH21" s="36"/>
      <c r="AI21" s="36"/>
      <c r="AK21" s="39">
        <v>2.0</v>
      </c>
      <c r="AL21" s="39">
        <v>3.0</v>
      </c>
      <c r="AM21" s="39">
        <v>4.0</v>
      </c>
      <c r="AN21" s="39">
        <v>5.0</v>
      </c>
      <c r="AO21" s="39">
        <v>6.0</v>
      </c>
      <c r="AP21" s="39">
        <v>7.0</v>
      </c>
      <c r="AQ21" s="39">
        <v>8.0</v>
      </c>
      <c r="AR21" s="39">
        <v>9.0</v>
      </c>
      <c r="AS21" s="39">
        <v>10.0</v>
      </c>
      <c r="AT21" s="39">
        <v>11.0</v>
      </c>
      <c r="AU21" s="39">
        <v>12.0</v>
      </c>
      <c r="AV21" s="39">
        <v>13.0</v>
      </c>
      <c r="AW21" s="40">
        <v>14.0</v>
      </c>
      <c r="AX21" s="42"/>
      <c r="AY21" s="37" t="str">
        <f t="shared" si="2"/>
        <v>A</v>
      </c>
      <c r="AZ21" s="43"/>
      <c r="BA21" s="36"/>
      <c r="BB21" s="36"/>
    </row>
    <row r="22" ht="15.75" customHeight="1">
      <c r="B22" s="18"/>
      <c r="C22" s="44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45"/>
      <c r="W22" s="18"/>
      <c r="X22" s="2"/>
      <c r="AD22" s="18"/>
      <c r="AE22" s="44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45"/>
      <c r="AY22" s="18"/>
      <c r="AZ22" s="2"/>
    </row>
    <row r="23" ht="15.75" customHeight="1">
      <c r="B23" s="18"/>
      <c r="C23" s="44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45"/>
      <c r="W23" s="18"/>
      <c r="X23" s="2"/>
      <c r="AD23" s="18"/>
      <c r="AE23" s="44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45"/>
      <c r="AY23" s="18"/>
      <c r="AZ23" s="2"/>
    </row>
    <row r="24" ht="15.75" customHeight="1">
      <c r="C24" s="4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47"/>
      <c r="X24" s="2"/>
      <c r="AE24" s="46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47"/>
      <c r="AZ24" s="2"/>
    </row>
    <row r="25" ht="15.75" customHeight="1">
      <c r="C25" s="4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47"/>
      <c r="X25" s="2"/>
      <c r="AE25" s="46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47"/>
      <c r="AZ25" s="2"/>
    </row>
    <row r="26" ht="15.75" customHeight="1">
      <c r="C26" s="4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47"/>
      <c r="X26" s="2"/>
      <c r="AE26" s="46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47"/>
      <c r="AZ26" s="2"/>
    </row>
    <row r="27" ht="15.75" customHeight="1">
      <c r="C27" s="4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47"/>
      <c r="X27" s="2"/>
      <c r="AE27" s="46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47"/>
      <c r="AZ27" s="2"/>
    </row>
    <row r="28" ht="15.75" customHeight="1"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50"/>
      <c r="X28" s="2"/>
      <c r="AE28" s="48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50"/>
      <c r="AZ28" s="2"/>
    </row>
    <row r="29" ht="15.75" customHeight="1">
      <c r="V29" s="1"/>
      <c r="X29" s="2"/>
      <c r="AX29" s="1"/>
      <c r="AZ29" s="2"/>
    </row>
    <row r="30" ht="15.75" customHeight="1">
      <c r="V30" s="1"/>
      <c r="X30" s="2"/>
      <c r="AX30" s="1"/>
      <c r="AZ30" s="2"/>
    </row>
    <row r="31" ht="15.75" customHeight="1">
      <c r="V31" s="1"/>
      <c r="X31" s="2"/>
      <c r="AX31" s="1"/>
      <c r="AZ31" s="2"/>
    </row>
    <row r="32" ht="15.75" customHeight="1">
      <c r="V32" s="1"/>
      <c r="X32" s="2"/>
      <c r="AX32" s="1"/>
      <c r="AZ32" s="2"/>
    </row>
    <row r="33" ht="15.75" customHeight="1">
      <c r="V33" s="1"/>
      <c r="X33" s="2"/>
    </row>
    <row r="34" ht="15.75" customHeight="1">
      <c r="V34" s="1"/>
      <c r="X34" s="2"/>
    </row>
    <row r="35" ht="15.75" customHeight="1">
      <c r="V35" s="1"/>
      <c r="X35" s="2"/>
    </row>
    <row r="36" ht="15.75" customHeight="1">
      <c r="V36" s="1"/>
      <c r="X36" s="2"/>
    </row>
    <row r="37" ht="15.75" customHeight="1">
      <c r="V37" s="1"/>
      <c r="X37" s="2"/>
    </row>
    <row r="38" ht="15.75" customHeight="1">
      <c r="V38" s="1"/>
      <c r="X38" s="2"/>
    </row>
    <row r="39" ht="15.75" customHeight="1">
      <c r="V39" s="1"/>
      <c r="X39" s="2"/>
    </row>
    <row r="40" ht="15.75" customHeight="1">
      <c r="V40" s="1"/>
      <c r="X40" s="2"/>
    </row>
    <row r="41" ht="15.75" customHeight="1">
      <c r="V41" s="1"/>
      <c r="X41" s="2"/>
    </row>
    <row r="42" ht="15.75" customHeight="1">
      <c r="V42" s="1"/>
      <c r="X42" s="2"/>
    </row>
    <row r="43" ht="15.75" customHeight="1">
      <c r="V43" s="1"/>
      <c r="X43" s="2"/>
    </row>
    <row r="44" ht="15.75" customHeight="1">
      <c r="V44" s="1"/>
      <c r="X44" s="2"/>
    </row>
    <row r="45" ht="15.75" customHeight="1">
      <c r="V45" s="1"/>
      <c r="X45" s="2"/>
    </row>
    <row r="46" ht="15.75" customHeight="1">
      <c r="V46" s="1"/>
      <c r="X46" s="2"/>
    </row>
    <row r="47" ht="15.75" customHeight="1">
      <c r="V47" s="1"/>
      <c r="X47" s="2"/>
    </row>
    <row r="48" ht="15.75" customHeight="1">
      <c r="V48" s="1"/>
      <c r="X48" s="2"/>
    </row>
    <row r="49" ht="15.75" customHeight="1">
      <c r="V49" s="1"/>
      <c r="X49" s="2"/>
    </row>
    <row r="50" ht="15.75" customHeight="1">
      <c r="V50" s="1"/>
      <c r="X50" s="2"/>
    </row>
    <row r="51" ht="15.75" customHeight="1">
      <c r="V51" s="1"/>
      <c r="X51" s="2"/>
    </row>
    <row r="52" ht="15.75" customHeight="1">
      <c r="V52" s="1"/>
      <c r="X52" s="2"/>
    </row>
    <row r="53" ht="15.75" customHeight="1">
      <c r="V53" s="1"/>
      <c r="X53" s="2"/>
    </row>
    <row r="54" ht="15.75" customHeight="1">
      <c r="V54" s="1"/>
      <c r="X54" s="2"/>
    </row>
    <row r="55" ht="15.75" customHeight="1">
      <c r="V55" s="1"/>
      <c r="X55" s="2"/>
    </row>
    <row r="56" ht="15.75" customHeight="1">
      <c r="V56" s="1"/>
      <c r="X56" s="2"/>
    </row>
    <row r="57" ht="15.75" customHeight="1">
      <c r="V57" s="1"/>
      <c r="X57" s="2"/>
    </row>
    <row r="58" ht="15.75" customHeight="1">
      <c r="V58" s="1"/>
      <c r="X58" s="2"/>
    </row>
    <row r="59" ht="15.75" customHeight="1">
      <c r="V59" s="1"/>
      <c r="X59" s="2"/>
    </row>
    <row r="60" ht="15.75" customHeight="1">
      <c r="V60" s="1"/>
      <c r="X60" s="2"/>
    </row>
    <row r="61" ht="15.75" customHeight="1">
      <c r="V61" s="1"/>
      <c r="X61" s="2"/>
    </row>
    <row r="62" ht="15.75" customHeight="1">
      <c r="V62" s="1"/>
      <c r="X62" s="2"/>
    </row>
    <row r="63" ht="15.75" customHeight="1">
      <c r="V63" s="1"/>
      <c r="X63" s="2"/>
    </row>
    <row r="64" ht="15.75" customHeight="1">
      <c r="V64" s="1"/>
      <c r="X64" s="2"/>
    </row>
    <row r="65" ht="15.75" customHeight="1">
      <c r="V65" s="1"/>
      <c r="X65" s="2"/>
    </row>
    <row r="66" ht="15.75" customHeight="1">
      <c r="V66" s="1"/>
      <c r="X66" s="2"/>
    </row>
    <row r="67" ht="15.75" customHeight="1">
      <c r="V67" s="1"/>
      <c r="X67" s="2"/>
    </row>
    <row r="68" ht="15.75" customHeight="1">
      <c r="V68" s="1"/>
      <c r="X68" s="2"/>
    </row>
    <row r="69" ht="15.75" customHeight="1">
      <c r="V69" s="1"/>
      <c r="X69" s="2"/>
    </row>
    <row r="70" ht="15.75" customHeight="1">
      <c r="V70" s="1"/>
      <c r="X70" s="2"/>
    </row>
    <row r="71" ht="15.75" customHeight="1">
      <c r="V71" s="1"/>
      <c r="X71" s="2"/>
    </row>
    <row r="72" ht="15.75" customHeight="1">
      <c r="V72" s="1"/>
      <c r="X72" s="2"/>
    </row>
    <row r="73" ht="15.75" customHeight="1">
      <c r="V73" s="1"/>
      <c r="X73" s="2"/>
    </row>
    <row r="74" ht="15.75" customHeight="1">
      <c r="V74" s="1"/>
      <c r="X74" s="2"/>
    </row>
    <row r="75" ht="15.75" customHeight="1">
      <c r="V75" s="1"/>
      <c r="X75" s="2"/>
    </row>
    <row r="76" ht="15.75" customHeight="1">
      <c r="V76" s="1"/>
      <c r="X76" s="2"/>
    </row>
    <row r="77" ht="15.75" customHeight="1">
      <c r="V77" s="1"/>
      <c r="X77" s="2"/>
    </row>
    <row r="78" ht="15.75" customHeight="1">
      <c r="V78" s="1"/>
      <c r="X78" s="2"/>
    </row>
    <row r="79" ht="15.75" customHeight="1">
      <c r="V79" s="1"/>
      <c r="X79" s="2"/>
    </row>
    <row r="80" ht="15.75" customHeight="1">
      <c r="V80" s="1"/>
      <c r="X80" s="2"/>
    </row>
    <row r="81" ht="15.75" customHeight="1">
      <c r="V81" s="1"/>
      <c r="X81" s="2"/>
    </row>
    <row r="82" ht="15.75" customHeight="1">
      <c r="V82" s="1"/>
      <c r="X82" s="2"/>
    </row>
    <row r="83" ht="15.75" customHeight="1">
      <c r="V83" s="1"/>
      <c r="X83" s="2"/>
    </row>
    <row r="84" ht="15.75" customHeight="1">
      <c r="V84" s="1"/>
      <c r="X84" s="2"/>
    </row>
    <row r="85" ht="15.75" customHeight="1">
      <c r="V85" s="1"/>
      <c r="X85" s="2"/>
    </row>
    <row r="86" ht="15.75" customHeight="1">
      <c r="V86" s="1"/>
      <c r="X86" s="2"/>
    </row>
    <row r="87" ht="15.75" customHeight="1">
      <c r="V87" s="1"/>
      <c r="X87" s="2"/>
    </row>
    <row r="88" ht="15.75" customHeight="1">
      <c r="V88" s="1"/>
      <c r="X88" s="2"/>
    </row>
    <row r="89" ht="15.75" customHeight="1">
      <c r="V89" s="1"/>
      <c r="X89" s="2"/>
    </row>
    <row r="90" ht="15.75" customHeight="1">
      <c r="V90" s="1"/>
      <c r="X90" s="2"/>
    </row>
    <row r="91" ht="15.75" customHeight="1">
      <c r="V91" s="1"/>
      <c r="X91" s="2"/>
    </row>
    <row r="92" ht="15.75" customHeight="1">
      <c r="V92" s="1"/>
      <c r="X92" s="2"/>
    </row>
    <row r="93" ht="15.75" customHeight="1">
      <c r="V93" s="1"/>
      <c r="X93" s="2"/>
    </row>
    <row r="94" ht="15.75" customHeight="1">
      <c r="V94" s="1"/>
      <c r="X94" s="2"/>
    </row>
    <row r="95" ht="15.75" customHeight="1">
      <c r="V95" s="1"/>
      <c r="X95" s="2"/>
    </row>
    <row r="96" ht="15.75" customHeight="1">
      <c r="V96" s="1"/>
      <c r="X96" s="2"/>
    </row>
    <row r="97" ht="15.75" customHeight="1">
      <c r="V97" s="1"/>
      <c r="X97" s="2"/>
    </row>
    <row r="98" ht="15.75" customHeight="1">
      <c r="V98" s="1"/>
      <c r="X98" s="2"/>
    </row>
    <row r="99" ht="15.75" customHeight="1">
      <c r="V99" s="1"/>
      <c r="X99" s="2"/>
    </row>
    <row r="100" ht="15.75" customHeight="1">
      <c r="V100" s="1"/>
      <c r="X100" s="2"/>
    </row>
  </sheetData>
  <mergeCells count="10">
    <mergeCell ref="AH6:AI6"/>
    <mergeCell ref="AN6:AO6"/>
    <mergeCell ref="G3:S3"/>
    <mergeCell ref="D6:E6"/>
    <mergeCell ref="F6:G6"/>
    <mergeCell ref="L6:M6"/>
    <mergeCell ref="Q6:R6"/>
    <mergeCell ref="AI3:AU3"/>
    <mergeCell ref="AF6:AG6"/>
    <mergeCell ref="AS6:AT6"/>
  </mergeCells>
  <printOptions/>
  <pageMargins bottom="0.748031496062992" footer="0.0" header="0.0" left="0.196850393700787" right="0.196850393700787" top="0.748031496062992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9.0"/>
    <col customWidth="1" min="3" max="3" width="12.0"/>
    <col customWidth="1" min="4" max="5" width="9.0"/>
    <col customWidth="1" min="6" max="6" width="9.86"/>
    <col customWidth="1" min="7" max="7" width="9.71"/>
    <col customWidth="1" min="8" max="8" width="8.29"/>
    <col customWidth="1" min="9" max="11" width="9.0"/>
    <col customWidth="1" min="12" max="13" width="7.86"/>
    <col customWidth="1" min="14" max="14" width="8.86"/>
    <col customWidth="1" min="15" max="27" width="9.0"/>
    <col customWidth="1" min="28" max="28" width="9.14"/>
    <col customWidth="1" min="29" max="29" width="9.0"/>
    <col customWidth="1" min="30" max="30" width="28.0"/>
    <col customWidth="1" min="31" max="31" width="21.86"/>
    <col customWidth="1" min="32" max="32" width="16.0"/>
    <col customWidth="1" min="33" max="63" width="9.0"/>
    <col customWidth="1" min="64" max="64" width="27.43"/>
    <col customWidth="1" min="65" max="66" width="9.0"/>
  </cols>
  <sheetData>
    <row r="1">
      <c r="AB1" s="1"/>
      <c r="AD1" s="2"/>
      <c r="BJ1" s="1"/>
      <c r="BL1" s="2"/>
    </row>
    <row r="2">
      <c r="AB2" s="1"/>
      <c r="AD2" s="2"/>
      <c r="BJ2" s="1"/>
      <c r="BL2" s="2"/>
    </row>
    <row r="3">
      <c r="I3" s="3" t="s">
        <v>34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  <c r="AB3" s="1"/>
      <c r="AD3" s="2"/>
      <c r="AQ3" s="3" t="s">
        <v>35</v>
      </c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5"/>
      <c r="BJ3" s="1"/>
      <c r="BL3" s="2"/>
    </row>
    <row r="4">
      <c r="K4" s="6"/>
      <c r="L4" s="6"/>
      <c r="M4" s="6"/>
      <c r="N4" s="6"/>
      <c r="AB4" s="1"/>
      <c r="AD4" s="2"/>
      <c r="AS4" s="6"/>
      <c r="AT4" s="6"/>
      <c r="AU4" s="6"/>
      <c r="AV4" s="6"/>
      <c r="BJ4" s="1"/>
      <c r="BL4" s="2"/>
    </row>
    <row r="5"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D5" s="10" t="s">
        <v>2</v>
      </c>
      <c r="AE5" s="10">
        <v>19.0</v>
      </c>
      <c r="AF5" s="11"/>
      <c r="AG5" s="11"/>
      <c r="AK5" s="7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9"/>
      <c r="BL5" s="10" t="s">
        <v>2</v>
      </c>
      <c r="BM5" s="10">
        <v>19.0</v>
      </c>
      <c r="BN5" s="11"/>
    </row>
    <row r="6">
      <c r="B6" s="12" t="s">
        <v>36</v>
      </c>
      <c r="C6" s="13"/>
      <c r="D6" s="14">
        <v>1.0</v>
      </c>
      <c r="E6" s="15"/>
      <c r="F6" s="14">
        <v>2.0</v>
      </c>
      <c r="G6" s="15"/>
      <c r="H6" s="16">
        <v>3.0</v>
      </c>
      <c r="I6" s="16">
        <v>4.0</v>
      </c>
      <c r="J6" s="16">
        <v>5.0</v>
      </c>
      <c r="K6" s="16">
        <v>6.0</v>
      </c>
      <c r="L6" s="14">
        <v>7.0</v>
      </c>
      <c r="M6" s="15"/>
      <c r="N6" s="16">
        <v>8.0</v>
      </c>
      <c r="O6" s="16">
        <v>9.0</v>
      </c>
      <c r="P6" s="16">
        <v>10.0</v>
      </c>
      <c r="Q6" s="14">
        <v>11.0</v>
      </c>
      <c r="R6" s="15"/>
      <c r="S6" s="16">
        <v>12.0</v>
      </c>
      <c r="T6" s="16">
        <v>13.0</v>
      </c>
      <c r="U6" s="16">
        <v>14.0</v>
      </c>
      <c r="V6" s="16">
        <v>15.0</v>
      </c>
      <c r="W6" s="16">
        <v>16.0</v>
      </c>
      <c r="X6" s="16">
        <v>17.0</v>
      </c>
      <c r="Y6" s="16">
        <v>18.0</v>
      </c>
      <c r="Z6" s="14">
        <v>19.0</v>
      </c>
      <c r="AA6" s="15"/>
      <c r="AB6" s="17"/>
      <c r="AC6" s="12" t="str">
        <f>B6</f>
        <v>R</v>
      </c>
      <c r="AD6" s="10" t="s">
        <v>4</v>
      </c>
      <c r="AE6" s="10">
        <v>311.0</v>
      </c>
      <c r="AF6" s="11"/>
      <c r="AG6" s="11"/>
      <c r="AJ6" s="12" t="s">
        <v>36</v>
      </c>
      <c r="AK6" s="13"/>
      <c r="AL6" s="14">
        <v>1.0</v>
      </c>
      <c r="AM6" s="15"/>
      <c r="AN6" s="14">
        <v>2.0</v>
      </c>
      <c r="AO6" s="15"/>
      <c r="AP6" s="16">
        <v>3.0</v>
      </c>
      <c r="AQ6" s="16">
        <v>4.0</v>
      </c>
      <c r="AR6" s="16">
        <v>5.0</v>
      </c>
      <c r="AS6" s="16">
        <v>6.0</v>
      </c>
      <c r="AT6" s="14">
        <v>7.0</v>
      </c>
      <c r="AU6" s="15"/>
      <c r="AV6" s="16">
        <v>8.0</v>
      </c>
      <c r="AW6" s="16">
        <v>9.0</v>
      </c>
      <c r="AX6" s="16">
        <v>10.0</v>
      </c>
      <c r="AY6" s="14">
        <v>11.0</v>
      </c>
      <c r="AZ6" s="15"/>
      <c r="BA6" s="16">
        <v>12.0</v>
      </c>
      <c r="BB6" s="16">
        <v>13.0</v>
      </c>
      <c r="BC6" s="16">
        <v>14.0</v>
      </c>
      <c r="BD6" s="16">
        <v>15.0</v>
      </c>
      <c r="BE6" s="16">
        <v>16.0</v>
      </c>
      <c r="BF6" s="16">
        <v>17.0</v>
      </c>
      <c r="BG6" s="16">
        <v>18.0</v>
      </c>
      <c r="BH6" s="14">
        <v>19.0</v>
      </c>
      <c r="BI6" s="15"/>
      <c r="BJ6" s="17"/>
      <c r="BK6" s="12" t="str">
        <f>AJ6</f>
        <v>R</v>
      </c>
      <c r="BL6" s="10" t="s">
        <v>4</v>
      </c>
      <c r="BM6" s="10">
        <v>311.0</v>
      </c>
      <c r="BN6" s="11"/>
    </row>
    <row r="7">
      <c r="A7" s="1"/>
      <c r="B7" s="12"/>
      <c r="C7" s="1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7"/>
      <c r="AC7" s="12"/>
      <c r="AD7" s="10" t="s">
        <v>5</v>
      </c>
      <c r="AE7" s="10" t="str">
        <f>+AE5+AE6</f>
        <v>330</v>
      </c>
      <c r="AF7" s="11"/>
      <c r="AG7" s="11"/>
      <c r="AH7" s="1"/>
      <c r="AI7" s="1"/>
      <c r="AJ7" s="12"/>
      <c r="AK7" s="13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7"/>
      <c r="BK7" s="12"/>
      <c r="BL7" s="10" t="s">
        <v>5</v>
      </c>
      <c r="BM7" s="10" t="str">
        <f>+BM5+BM6</f>
        <v>330</v>
      </c>
      <c r="BN7" s="11"/>
    </row>
    <row r="8">
      <c r="A8" s="1" t="s">
        <v>6</v>
      </c>
      <c r="B8" s="12" t="s">
        <v>3</v>
      </c>
      <c r="C8" s="13"/>
      <c r="D8" s="19">
        <v>1.0</v>
      </c>
      <c r="E8" s="19">
        <v>2.0</v>
      </c>
      <c r="F8" s="19">
        <v>3.0</v>
      </c>
      <c r="G8" s="19">
        <v>4.0</v>
      </c>
      <c r="H8" s="19">
        <v>5.0</v>
      </c>
      <c r="I8" s="19">
        <v>6.0</v>
      </c>
      <c r="J8" s="19">
        <v>7.0</v>
      </c>
      <c r="M8" s="19">
        <v>8.0</v>
      </c>
      <c r="N8" s="19">
        <v>9.0</v>
      </c>
      <c r="O8" s="19">
        <v>10.0</v>
      </c>
      <c r="P8" s="19">
        <v>11.0</v>
      </c>
      <c r="Q8" s="19">
        <v>12.0</v>
      </c>
      <c r="R8" s="19">
        <v>13.0</v>
      </c>
      <c r="S8" s="19">
        <v>14.0</v>
      </c>
      <c r="T8" s="19">
        <v>15.0</v>
      </c>
      <c r="U8" s="19">
        <v>16.0</v>
      </c>
      <c r="V8" s="19">
        <v>17.0</v>
      </c>
      <c r="W8" s="19">
        <v>18.0</v>
      </c>
      <c r="X8" s="19">
        <v>19.0</v>
      </c>
      <c r="Y8" s="19">
        <v>20.0</v>
      </c>
      <c r="Z8" s="19">
        <v>21.0</v>
      </c>
      <c r="AA8" s="19">
        <v>22.0</v>
      </c>
      <c r="AB8" s="17"/>
      <c r="AC8" s="12" t="str">
        <f t="shared" ref="AC8:AC22" si="1">B8</f>
        <v>Q</v>
      </c>
      <c r="AD8" s="20"/>
      <c r="AE8" s="11"/>
      <c r="AF8" s="11"/>
      <c r="AG8" s="11"/>
      <c r="AI8" s="1" t="s">
        <v>6</v>
      </c>
      <c r="AJ8" s="12" t="s">
        <v>3</v>
      </c>
      <c r="AK8" s="13"/>
      <c r="AL8" s="19">
        <v>1.0</v>
      </c>
      <c r="AM8" s="19">
        <v>2.0</v>
      </c>
      <c r="AN8" s="19">
        <v>3.0</v>
      </c>
      <c r="AO8" s="19">
        <v>4.0</v>
      </c>
      <c r="AP8" s="19">
        <v>5.0</v>
      </c>
      <c r="AQ8" s="19">
        <v>6.0</v>
      </c>
      <c r="AR8" s="19">
        <v>7.0</v>
      </c>
      <c r="AU8" s="19">
        <v>8.0</v>
      </c>
      <c r="AV8" s="19">
        <v>9.0</v>
      </c>
      <c r="AW8" s="19">
        <v>10.0</v>
      </c>
      <c r="AX8" s="19">
        <v>11.0</v>
      </c>
      <c r="AY8" s="19">
        <v>12.0</v>
      </c>
      <c r="AZ8" s="19">
        <v>13.0</v>
      </c>
      <c r="BA8" s="19">
        <v>14.0</v>
      </c>
      <c r="BB8" s="19">
        <v>15.0</v>
      </c>
      <c r="BC8" s="19">
        <v>16.0</v>
      </c>
      <c r="BD8" s="19">
        <v>17.0</v>
      </c>
      <c r="BE8" s="19">
        <v>18.0</v>
      </c>
      <c r="BF8" s="19">
        <v>19.0</v>
      </c>
      <c r="BG8" s="19">
        <v>20.0</v>
      </c>
      <c r="BH8" s="19">
        <v>21.0</v>
      </c>
      <c r="BI8" s="19">
        <v>22.0</v>
      </c>
      <c r="BJ8" s="17"/>
      <c r="BK8" s="12" t="str">
        <f t="shared" ref="BK8:BK22" si="2">AJ8</f>
        <v>Q</v>
      </c>
      <c r="BL8" s="20"/>
      <c r="BM8" s="11"/>
      <c r="BN8" s="11"/>
    </row>
    <row r="9">
      <c r="A9" s="1" t="s">
        <v>6</v>
      </c>
      <c r="B9" s="12" t="s">
        <v>7</v>
      </c>
      <c r="C9" s="13"/>
      <c r="D9" s="21">
        <v>1.0</v>
      </c>
      <c r="E9" s="21">
        <v>2.0</v>
      </c>
      <c r="F9" s="21">
        <v>3.0</v>
      </c>
      <c r="G9" s="21">
        <v>4.0</v>
      </c>
      <c r="H9" s="21">
        <v>5.0</v>
      </c>
      <c r="I9" s="21">
        <v>6.0</v>
      </c>
      <c r="J9" s="21">
        <v>7.0</v>
      </c>
      <c r="M9" s="21">
        <v>8.0</v>
      </c>
      <c r="N9" s="21">
        <v>9.0</v>
      </c>
      <c r="O9" s="21">
        <v>10.0</v>
      </c>
      <c r="P9" s="21">
        <v>11.0</v>
      </c>
      <c r="Q9" s="21">
        <v>12.0</v>
      </c>
      <c r="R9" s="21">
        <v>13.0</v>
      </c>
      <c r="S9" s="21">
        <v>14.0</v>
      </c>
      <c r="T9" s="21">
        <v>15.0</v>
      </c>
      <c r="U9" s="21">
        <v>16.0</v>
      </c>
      <c r="V9" s="21">
        <v>17.0</v>
      </c>
      <c r="W9" s="21">
        <v>18.0</v>
      </c>
      <c r="X9" s="21">
        <v>19.0</v>
      </c>
      <c r="Y9" s="21">
        <v>20.0</v>
      </c>
      <c r="Z9" s="21">
        <v>21.0</v>
      </c>
      <c r="AA9" s="21">
        <v>22.0</v>
      </c>
      <c r="AB9" s="17"/>
      <c r="AC9" s="12" t="str">
        <f t="shared" si="1"/>
        <v>P</v>
      </c>
      <c r="AD9" s="20"/>
      <c r="AE9" s="11"/>
      <c r="AF9" s="11"/>
      <c r="AG9" s="11"/>
      <c r="AI9" s="1" t="s">
        <v>6</v>
      </c>
      <c r="AJ9" s="12" t="s">
        <v>7</v>
      </c>
      <c r="AK9" s="13"/>
      <c r="AL9" s="21">
        <v>1.0</v>
      </c>
      <c r="AM9" s="21">
        <v>2.0</v>
      </c>
      <c r="AN9" s="21">
        <v>3.0</v>
      </c>
      <c r="AO9" s="21">
        <v>4.0</v>
      </c>
      <c r="AP9" s="21">
        <v>5.0</v>
      </c>
      <c r="AQ9" s="21">
        <v>6.0</v>
      </c>
      <c r="AR9" s="21">
        <v>7.0</v>
      </c>
      <c r="AU9" s="21">
        <v>8.0</v>
      </c>
      <c r="AV9" s="21">
        <v>9.0</v>
      </c>
      <c r="AW9" s="21">
        <v>10.0</v>
      </c>
      <c r="AX9" s="21">
        <v>11.0</v>
      </c>
      <c r="AY9" s="21">
        <v>12.0</v>
      </c>
      <c r="AZ9" s="21">
        <v>13.0</v>
      </c>
      <c r="BA9" s="21">
        <v>14.0</v>
      </c>
      <c r="BB9" s="21">
        <v>15.0</v>
      </c>
      <c r="BC9" s="21">
        <v>16.0</v>
      </c>
      <c r="BD9" s="21">
        <v>17.0</v>
      </c>
      <c r="BE9" s="21">
        <v>18.0</v>
      </c>
      <c r="BF9" s="21">
        <v>19.0</v>
      </c>
      <c r="BG9" s="21">
        <v>20.0</v>
      </c>
      <c r="BH9" s="21">
        <v>21.0</v>
      </c>
      <c r="BI9" s="21">
        <v>22.0</v>
      </c>
      <c r="BJ9" s="17"/>
      <c r="BK9" s="12" t="str">
        <f t="shared" si="2"/>
        <v>P</v>
      </c>
      <c r="BL9" s="20"/>
      <c r="BM9" s="11"/>
      <c r="BN9" s="11"/>
    </row>
    <row r="10">
      <c r="A10" s="1" t="s">
        <v>6</v>
      </c>
      <c r="B10" s="12" t="s">
        <v>8</v>
      </c>
      <c r="C10" s="13"/>
      <c r="D10" s="19">
        <v>1.0</v>
      </c>
      <c r="E10" s="19">
        <v>2.0</v>
      </c>
      <c r="F10" s="19">
        <v>3.0</v>
      </c>
      <c r="G10" s="19">
        <v>4.0</v>
      </c>
      <c r="H10" s="19">
        <v>5.0</v>
      </c>
      <c r="I10" s="19">
        <v>6.0</v>
      </c>
      <c r="J10" s="19">
        <v>7.0</v>
      </c>
      <c r="M10" s="19">
        <v>8.0</v>
      </c>
      <c r="N10" s="19">
        <v>9.0</v>
      </c>
      <c r="O10" s="19">
        <v>10.0</v>
      </c>
      <c r="P10" s="19">
        <v>11.0</v>
      </c>
      <c r="Q10" s="19">
        <v>12.0</v>
      </c>
      <c r="R10" s="19">
        <v>13.0</v>
      </c>
      <c r="S10" s="19">
        <v>14.0</v>
      </c>
      <c r="T10" s="19">
        <v>15.0</v>
      </c>
      <c r="U10" s="19">
        <v>16.0</v>
      </c>
      <c r="V10" s="19">
        <v>17.0</v>
      </c>
      <c r="W10" s="19">
        <v>18.0</v>
      </c>
      <c r="X10" s="19">
        <v>19.0</v>
      </c>
      <c r="Y10" s="19">
        <v>20.0</v>
      </c>
      <c r="Z10" s="19">
        <v>21.0</v>
      </c>
      <c r="AA10" s="19">
        <v>22.0</v>
      </c>
      <c r="AB10" s="17"/>
      <c r="AC10" s="12" t="str">
        <f t="shared" si="1"/>
        <v>N</v>
      </c>
      <c r="AD10" s="22" t="s">
        <v>9</v>
      </c>
      <c r="AE10" s="23">
        <v>39.0</v>
      </c>
      <c r="AF10" s="24" t="str">
        <f>+AE10/AE13</f>
        <v>12%</v>
      </c>
      <c r="AG10" s="11"/>
      <c r="AI10" s="1" t="s">
        <v>6</v>
      </c>
      <c r="AJ10" s="12" t="s">
        <v>8</v>
      </c>
      <c r="AK10" s="13"/>
      <c r="AL10" s="19">
        <v>1.0</v>
      </c>
      <c r="AM10" s="19">
        <v>2.0</v>
      </c>
      <c r="AN10" s="19">
        <v>3.0</v>
      </c>
      <c r="AO10" s="19">
        <v>4.0</v>
      </c>
      <c r="AP10" s="19">
        <v>5.0</v>
      </c>
      <c r="AQ10" s="19">
        <v>6.0</v>
      </c>
      <c r="AR10" s="19">
        <v>7.0</v>
      </c>
      <c r="AU10" s="19">
        <v>8.0</v>
      </c>
      <c r="AV10" s="19">
        <v>9.0</v>
      </c>
      <c r="AW10" s="19">
        <v>10.0</v>
      </c>
      <c r="AX10" s="19">
        <v>11.0</v>
      </c>
      <c r="AY10" s="19">
        <v>12.0</v>
      </c>
      <c r="AZ10" s="19">
        <v>13.0</v>
      </c>
      <c r="BA10" s="19">
        <v>14.0</v>
      </c>
      <c r="BB10" s="19">
        <v>15.0</v>
      </c>
      <c r="BC10" s="19">
        <v>16.0</v>
      </c>
      <c r="BD10" s="19">
        <v>17.0</v>
      </c>
      <c r="BE10" s="19">
        <v>18.0</v>
      </c>
      <c r="BF10" s="19">
        <v>19.0</v>
      </c>
      <c r="BG10" s="19">
        <v>20.0</v>
      </c>
      <c r="BH10" s="19">
        <v>21.0</v>
      </c>
      <c r="BI10" s="19">
        <v>22.0</v>
      </c>
      <c r="BJ10" s="17"/>
      <c r="BK10" s="12" t="str">
        <f t="shared" si="2"/>
        <v>N</v>
      </c>
      <c r="BL10" s="22" t="s">
        <v>10</v>
      </c>
      <c r="BM10" s="23">
        <v>39.0</v>
      </c>
      <c r="BN10" s="24" t="str">
        <f>+BM10/BM13</f>
        <v>12%</v>
      </c>
    </row>
    <row r="11">
      <c r="A11" s="1" t="s">
        <v>6</v>
      </c>
      <c r="B11" s="12" t="s">
        <v>11</v>
      </c>
      <c r="C11" s="13"/>
      <c r="D11" s="19">
        <v>1.0</v>
      </c>
      <c r="E11" s="19">
        <v>2.0</v>
      </c>
      <c r="F11" s="19">
        <v>3.0</v>
      </c>
      <c r="G11" s="19">
        <v>4.0</v>
      </c>
      <c r="H11" s="19">
        <v>5.0</v>
      </c>
      <c r="I11" s="19">
        <v>6.0</v>
      </c>
      <c r="J11" s="19">
        <v>7.0</v>
      </c>
      <c r="M11" s="19">
        <v>8.0</v>
      </c>
      <c r="N11" s="19">
        <v>9.0</v>
      </c>
      <c r="O11" s="19">
        <v>10.0</v>
      </c>
      <c r="P11" s="19">
        <v>11.0</v>
      </c>
      <c r="Q11" s="19">
        <v>12.0</v>
      </c>
      <c r="R11" s="19">
        <v>13.0</v>
      </c>
      <c r="S11" s="19">
        <v>14.0</v>
      </c>
      <c r="T11" s="19">
        <v>15.0</v>
      </c>
      <c r="U11" s="19">
        <v>16.0</v>
      </c>
      <c r="V11" s="19">
        <v>17.0</v>
      </c>
      <c r="W11" s="19">
        <v>18.0</v>
      </c>
      <c r="X11" s="19">
        <v>19.0</v>
      </c>
      <c r="Y11" s="19">
        <v>20.0</v>
      </c>
      <c r="Z11" s="19">
        <v>21.0</v>
      </c>
      <c r="AA11" s="19">
        <v>22.0</v>
      </c>
      <c r="AB11" s="17"/>
      <c r="AC11" s="12" t="str">
        <f t="shared" si="1"/>
        <v>M</v>
      </c>
      <c r="AD11" s="25" t="s">
        <v>12</v>
      </c>
      <c r="AE11" s="23">
        <v>272.0</v>
      </c>
      <c r="AF11" s="24" t="str">
        <f>+AE11/AE13</f>
        <v>82%</v>
      </c>
      <c r="AG11" s="11"/>
      <c r="AI11" s="1" t="s">
        <v>6</v>
      </c>
      <c r="AJ11" s="12" t="s">
        <v>11</v>
      </c>
      <c r="AK11" s="13"/>
      <c r="AL11" s="19">
        <v>1.0</v>
      </c>
      <c r="AM11" s="19">
        <v>2.0</v>
      </c>
      <c r="AN11" s="19">
        <v>3.0</v>
      </c>
      <c r="AO11" s="19">
        <v>4.0</v>
      </c>
      <c r="AP11" s="19">
        <v>5.0</v>
      </c>
      <c r="AQ11" s="19">
        <v>6.0</v>
      </c>
      <c r="AR11" s="19">
        <v>7.0</v>
      </c>
      <c r="AU11" s="19">
        <v>8.0</v>
      </c>
      <c r="AV11" s="19">
        <v>9.0</v>
      </c>
      <c r="AW11" s="19">
        <v>10.0</v>
      </c>
      <c r="AX11" s="19">
        <v>11.0</v>
      </c>
      <c r="AY11" s="19">
        <v>12.0</v>
      </c>
      <c r="AZ11" s="19">
        <v>13.0</v>
      </c>
      <c r="BA11" s="19">
        <v>14.0</v>
      </c>
      <c r="BB11" s="19">
        <v>15.0</v>
      </c>
      <c r="BC11" s="19">
        <v>16.0</v>
      </c>
      <c r="BD11" s="19">
        <v>17.0</v>
      </c>
      <c r="BE11" s="19">
        <v>18.0</v>
      </c>
      <c r="BF11" s="19">
        <v>19.0</v>
      </c>
      <c r="BG11" s="19">
        <v>20.0</v>
      </c>
      <c r="BH11" s="19">
        <v>21.0</v>
      </c>
      <c r="BI11" s="19">
        <v>22.0</v>
      </c>
      <c r="BJ11" s="17"/>
      <c r="BK11" s="12" t="str">
        <f t="shared" si="2"/>
        <v>M</v>
      </c>
      <c r="BL11" s="25" t="s">
        <v>13</v>
      </c>
      <c r="BM11" s="23">
        <v>272.0</v>
      </c>
      <c r="BN11" s="24" t="str">
        <f>+BM11/BM13</f>
        <v>82%</v>
      </c>
    </row>
    <row r="12">
      <c r="A12" s="1" t="s">
        <v>6</v>
      </c>
      <c r="B12" s="12" t="s">
        <v>14</v>
      </c>
      <c r="C12" s="13"/>
      <c r="D12" s="19">
        <v>1.0</v>
      </c>
      <c r="E12" s="19">
        <v>2.0</v>
      </c>
      <c r="F12" s="19">
        <v>3.0</v>
      </c>
      <c r="G12" s="19">
        <v>4.0</v>
      </c>
      <c r="H12" s="19">
        <v>5.0</v>
      </c>
      <c r="I12" s="19">
        <v>6.0</v>
      </c>
      <c r="J12" s="19">
        <v>7.0</v>
      </c>
      <c r="M12" s="19">
        <v>8.0</v>
      </c>
      <c r="N12" s="19">
        <v>9.0</v>
      </c>
      <c r="O12" s="19">
        <v>10.0</v>
      </c>
      <c r="P12" s="19">
        <v>11.0</v>
      </c>
      <c r="Q12" s="19">
        <v>12.0</v>
      </c>
      <c r="R12" s="19">
        <v>13.0</v>
      </c>
      <c r="S12" s="19">
        <v>14.0</v>
      </c>
      <c r="T12" s="19">
        <v>15.0</v>
      </c>
      <c r="U12" s="19">
        <v>16.0</v>
      </c>
      <c r="V12" s="19">
        <v>17.0</v>
      </c>
      <c r="W12" s="19">
        <v>18.0</v>
      </c>
      <c r="X12" s="19">
        <v>19.0</v>
      </c>
      <c r="Y12" s="19">
        <v>20.0</v>
      </c>
      <c r="Z12" s="19">
        <v>21.0</v>
      </c>
      <c r="AA12" s="19">
        <v>22.0</v>
      </c>
      <c r="AB12" s="17"/>
      <c r="AC12" s="12" t="str">
        <f t="shared" si="1"/>
        <v>L</v>
      </c>
      <c r="AD12" s="26" t="s">
        <v>15</v>
      </c>
      <c r="AE12" s="23">
        <v>19.0</v>
      </c>
      <c r="AF12" s="24" t="str">
        <f>+AE12/AE13</f>
        <v>6%</v>
      </c>
      <c r="AG12" s="11"/>
      <c r="AI12" s="1" t="s">
        <v>6</v>
      </c>
      <c r="AJ12" s="12" t="s">
        <v>14</v>
      </c>
      <c r="AK12" s="13"/>
      <c r="AL12" s="19">
        <v>1.0</v>
      </c>
      <c r="AM12" s="19">
        <v>2.0</v>
      </c>
      <c r="AN12" s="19">
        <v>3.0</v>
      </c>
      <c r="AO12" s="19">
        <v>4.0</v>
      </c>
      <c r="AP12" s="19">
        <v>5.0</v>
      </c>
      <c r="AQ12" s="19">
        <v>6.0</v>
      </c>
      <c r="AR12" s="19">
        <v>7.0</v>
      </c>
      <c r="AU12" s="19">
        <v>8.0</v>
      </c>
      <c r="AV12" s="19">
        <v>9.0</v>
      </c>
      <c r="AW12" s="19">
        <v>10.0</v>
      </c>
      <c r="AX12" s="19">
        <v>11.0</v>
      </c>
      <c r="AY12" s="19">
        <v>12.0</v>
      </c>
      <c r="AZ12" s="19">
        <v>13.0</v>
      </c>
      <c r="BA12" s="19">
        <v>14.0</v>
      </c>
      <c r="BB12" s="19">
        <v>15.0</v>
      </c>
      <c r="BC12" s="19">
        <v>16.0</v>
      </c>
      <c r="BD12" s="19">
        <v>17.0</v>
      </c>
      <c r="BE12" s="19">
        <v>18.0</v>
      </c>
      <c r="BF12" s="19">
        <v>19.0</v>
      </c>
      <c r="BG12" s="19">
        <v>20.0</v>
      </c>
      <c r="BH12" s="19">
        <v>21.0</v>
      </c>
      <c r="BI12" s="19">
        <v>22.0</v>
      </c>
      <c r="BJ12" s="17"/>
      <c r="BK12" s="12" t="str">
        <f t="shared" si="2"/>
        <v>L</v>
      </c>
      <c r="BL12" s="26" t="s">
        <v>16</v>
      </c>
      <c r="BM12" s="23">
        <v>19.0</v>
      </c>
      <c r="BN12" s="24" t="str">
        <f>+BM12/BM13</f>
        <v>6%</v>
      </c>
    </row>
    <row r="13">
      <c r="A13" s="1" t="s">
        <v>17</v>
      </c>
      <c r="B13" s="12" t="s">
        <v>18</v>
      </c>
      <c r="C13" s="13"/>
      <c r="D13" s="19">
        <v>1.0</v>
      </c>
      <c r="E13" s="19">
        <v>2.0</v>
      </c>
      <c r="F13" s="19">
        <v>3.0</v>
      </c>
      <c r="G13" s="19">
        <v>4.0</v>
      </c>
      <c r="H13" s="19">
        <v>5.0</v>
      </c>
      <c r="I13" s="19">
        <v>6.0</v>
      </c>
      <c r="J13" s="19">
        <v>7.0</v>
      </c>
      <c r="M13" s="19">
        <v>8.0</v>
      </c>
      <c r="N13" s="19">
        <v>9.0</v>
      </c>
      <c r="O13" s="19">
        <v>10.0</v>
      </c>
      <c r="P13" s="19">
        <v>11.0</v>
      </c>
      <c r="Q13" s="19">
        <v>12.0</v>
      </c>
      <c r="R13" s="19">
        <v>13.0</v>
      </c>
      <c r="S13" s="19">
        <v>14.0</v>
      </c>
      <c r="T13" s="19">
        <v>15.0</v>
      </c>
      <c r="U13" s="19">
        <v>16.0</v>
      </c>
      <c r="V13" s="19">
        <v>17.0</v>
      </c>
      <c r="W13" s="19">
        <v>18.0</v>
      </c>
      <c r="X13" s="19">
        <v>19.0</v>
      </c>
      <c r="Y13" s="19">
        <v>20.0</v>
      </c>
      <c r="Z13" s="19">
        <v>21.0</v>
      </c>
      <c r="AA13" s="19">
        <v>22.0</v>
      </c>
      <c r="AB13" s="17"/>
      <c r="AC13" s="12" t="str">
        <f t="shared" si="1"/>
        <v>K</v>
      </c>
      <c r="AD13" s="28" t="s">
        <v>19</v>
      </c>
      <c r="AE13" s="29" t="str">
        <f t="shared" ref="AE13:AF13" si="3">SUM(AE10:AE12)</f>
        <v>330</v>
      </c>
      <c r="AF13" s="30" t="str">
        <f t="shared" si="3"/>
        <v>100%</v>
      </c>
      <c r="AG13" s="11"/>
      <c r="AI13" s="1" t="s">
        <v>17</v>
      </c>
      <c r="AJ13" s="12" t="s">
        <v>18</v>
      </c>
      <c r="AK13" s="13"/>
      <c r="AL13" s="19">
        <v>1.0</v>
      </c>
      <c r="AM13" s="19">
        <v>2.0</v>
      </c>
      <c r="AN13" s="19">
        <v>3.0</v>
      </c>
      <c r="AO13" s="19">
        <v>4.0</v>
      </c>
      <c r="AP13" s="19">
        <v>5.0</v>
      </c>
      <c r="AQ13" s="19">
        <v>6.0</v>
      </c>
      <c r="AR13" s="19">
        <v>7.0</v>
      </c>
      <c r="AU13" s="19">
        <v>8.0</v>
      </c>
      <c r="AV13" s="19">
        <v>9.0</v>
      </c>
      <c r="AW13" s="19">
        <v>10.0</v>
      </c>
      <c r="AX13" s="19">
        <v>11.0</v>
      </c>
      <c r="AY13" s="19">
        <v>12.0</v>
      </c>
      <c r="AZ13" s="19">
        <v>13.0</v>
      </c>
      <c r="BA13" s="19">
        <v>14.0</v>
      </c>
      <c r="BB13" s="19">
        <v>15.0</v>
      </c>
      <c r="BC13" s="19">
        <v>16.0</v>
      </c>
      <c r="BD13" s="19">
        <v>17.0</v>
      </c>
      <c r="BE13" s="19">
        <v>18.0</v>
      </c>
      <c r="BF13" s="19">
        <v>19.0</v>
      </c>
      <c r="BG13" s="19">
        <v>20.0</v>
      </c>
      <c r="BH13" s="19">
        <v>21.0</v>
      </c>
      <c r="BI13" s="19">
        <v>22.0</v>
      </c>
      <c r="BJ13" s="17"/>
      <c r="BK13" s="12" t="str">
        <f t="shared" si="2"/>
        <v>K</v>
      </c>
      <c r="BL13" s="28" t="s">
        <v>19</v>
      </c>
      <c r="BM13" s="29" t="str">
        <f t="shared" ref="BM13:BN13" si="4">SUM(BM10:BM12)</f>
        <v>330</v>
      </c>
      <c r="BN13" s="30" t="str">
        <f t="shared" si="4"/>
        <v>100%</v>
      </c>
    </row>
    <row r="14">
      <c r="A14" s="1" t="s">
        <v>17</v>
      </c>
      <c r="B14" s="12" t="s">
        <v>20</v>
      </c>
      <c r="C14" s="13"/>
      <c r="F14" s="19">
        <v>1.0</v>
      </c>
      <c r="G14" s="19">
        <v>2.0</v>
      </c>
      <c r="H14" s="19">
        <v>3.0</v>
      </c>
      <c r="I14" s="19">
        <v>4.0</v>
      </c>
      <c r="J14" s="19">
        <v>5.0</v>
      </c>
      <c r="M14" s="19">
        <v>6.0</v>
      </c>
      <c r="N14" s="19">
        <v>7.0</v>
      </c>
      <c r="O14" s="19">
        <v>8.0</v>
      </c>
      <c r="P14" s="19">
        <v>9.0</v>
      </c>
      <c r="Q14" s="19">
        <v>10.0</v>
      </c>
      <c r="R14" s="19">
        <v>11.0</v>
      </c>
      <c r="S14" s="19">
        <v>12.0</v>
      </c>
      <c r="T14" s="19">
        <v>13.0</v>
      </c>
      <c r="U14" s="19">
        <v>14.0</v>
      </c>
      <c r="V14" s="19">
        <v>15.0</v>
      </c>
      <c r="W14" s="19">
        <v>16.0</v>
      </c>
      <c r="X14" s="19">
        <v>17.0</v>
      </c>
      <c r="Y14" s="19">
        <v>18.0</v>
      </c>
      <c r="Z14" s="19">
        <v>19.0</v>
      </c>
      <c r="AA14" s="19">
        <v>20.0</v>
      </c>
      <c r="AB14" s="17"/>
      <c r="AC14" s="12" t="str">
        <f t="shared" si="1"/>
        <v>J</v>
      </c>
      <c r="AD14" s="31" t="s">
        <v>21</v>
      </c>
      <c r="AE14" s="31">
        <v>1.0</v>
      </c>
      <c r="AF14" s="32" t="s">
        <v>37</v>
      </c>
      <c r="AG14" s="11"/>
      <c r="AI14" s="1" t="s">
        <v>17</v>
      </c>
      <c r="AJ14" s="12" t="s">
        <v>20</v>
      </c>
      <c r="AK14" s="13"/>
      <c r="AN14" s="19">
        <v>1.0</v>
      </c>
      <c r="AO14" s="19">
        <v>2.0</v>
      </c>
      <c r="AP14" s="19">
        <v>3.0</v>
      </c>
      <c r="AQ14" s="19">
        <v>4.0</v>
      </c>
      <c r="AR14" s="19">
        <v>5.0</v>
      </c>
      <c r="AU14" s="19">
        <v>6.0</v>
      </c>
      <c r="AV14" s="19">
        <v>7.0</v>
      </c>
      <c r="AW14" s="19">
        <v>8.0</v>
      </c>
      <c r="AX14" s="19">
        <v>9.0</v>
      </c>
      <c r="AY14" s="19">
        <v>10.0</v>
      </c>
      <c r="AZ14" s="19">
        <v>11.0</v>
      </c>
      <c r="BA14" s="19">
        <v>12.0</v>
      </c>
      <c r="BB14" s="19">
        <v>13.0</v>
      </c>
      <c r="BC14" s="19">
        <v>14.0</v>
      </c>
      <c r="BD14" s="19">
        <v>15.0</v>
      </c>
      <c r="BE14" s="19">
        <v>16.0</v>
      </c>
      <c r="BF14" s="19">
        <v>17.0</v>
      </c>
      <c r="BG14" s="19">
        <v>18.0</v>
      </c>
      <c r="BH14" s="19">
        <v>19.0</v>
      </c>
      <c r="BI14" s="19">
        <v>20.0</v>
      </c>
      <c r="BJ14" s="17"/>
      <c r="BK14" s="12" t="str">
        <f t="shared" si="2"/>
        <v>J</v>
      </c>
      <c r="BL14" s="31" t="s">
        <v>21</v>
      </c>
      <c r="BM14" s="31">
        <v>1.0</v>
      </c>
      <c r="BN14" s="32" t="s">
        <v>37</v>
      </c>
    </row>
    <row r="15">
      <c r="A15" s="1" t="s">
        <v>17</v>
      </c>
      <c r="B15" s="12" t="s">
        <v>23</v>
      </c>
      <c r="C15" s="13"/>
      <c r="F15" s="19">
        <v>1.0</v>
      </c>
      <c r="G15" s="19">
        <v>2.0</v>
      </c>
      <c r="H15" s="19">
        <v>3.0</v>
      </c>
      <c r="I15" s="19">
        <v>4.0</v>
      </c>
      <c r="J15" s="19">
        <v>5.0</v>
      </c>
      <c r="M15" s="19">
        <v>6.0</v>
      </c>
      <c r="N15" s="19">
        <v>7.0</v>
      </c>
      <c r="O15" s="19">
        <v>8.0</v>
      </c>
      <c r="P15" s="19">
        <v>9.0</v>
      </c>
      <c r="Q15" s="19">
        <v>10.0</v>
      </c>
      <c r="R15" s="19">
        <v>11.0</v>
      </c>
      <c r="S15" s="19">
        <v>12.0</v>
      </c>
      <c r="T15" s="19">
        <v>13.0</v>
      </c>
      <c r="U15" s="19">
        <v>14.0</v>
      </c>
      <c r="V15" s="19">
        <v>15.0</v>
      </c>
      <c r="W15" s="19">
        <v>16.0</v>
      </c>
      <c r="X15" s="19">
        <v>17.0</v>
      </c>
      <c r="Y15" s="19">
        <v>18.0</v>
      </c>
      <c r="Z15" s="19">
        <v>19.0</v>
      </c>
      <c r="AA15" s="19">
        <v>20.0</v>
      </c>
      <c r="AB15" s="17"/>
      <c r="AC15" s="12" t="str">
        <f t="shared" si="1"/>
        <v>H</v>
      </c>
      <c r="AD15" s="2"/>
      <c r="AG15" s="11"/>
      <c r="AI15" s="1" t="s">
        <v>17</v>
      </c>
      <c r="AJ15" s="12" t="s">
        <v>23</v>
      </c>
      <c r="AK15" s="13"/>
      <c r="AN15" s="19">
        <v>1.0</v>
      </c>
      <c r="AO15" s="19">
        <v>2.0</v>
      </c>
      <c r="AP15" s="19">
        <v>3.0</v>
      </c>
      <c r="AQ15" s="19">
        <v>4.0</v>
      </c>
      <c r="AR15" s="19">
        <v>5.0</v>
      </c>
      <c r="AU15" s="19">
        <v>6.0</v>
      </c>
      <c r="AV15" s="19">
        <v>7.0</v>
      </c>
      <c r="AW15" s="19">
        <v>8.0</v>
      </c>
      <c r="AX15" s="19">
        <v>9.0</v>
      </c>
      <c r="AY15" s="19">
        <v>10.0</v>
      </c>
      <c r="AZ15" s="19">
        <v>11.0</v>
      </c>
      <c r="BA15" s="19">
        <v>12.0</v>
      </c>
      <c r="BB15" s="19">
        <v>13.0</v>
      </c>
      <c r="BC15" s="19">
        <v>14.0</v>
      </c>
      <c r="BD15" s="19">
        <v>15.0</v>
      </c>
      <c r="BE15" s="19">
        <v>16.0</v>
      </c>
      <c r="BF15" s="19">
        <v>17.0</v>
      </c>
      <c r="BG15" s="19">
        <v>18.0</v>
      </c>
      <c r="BH15" s="19">
        <v>19.0</v>
      </c>
      <c r="BI15" s="19">
        <v>20.0</v>
      </c>
      <c r="BJ15" s="17"/>
      <c r="BK15" s="12" t="str">
        <f t="shared" si="2"/>
        <v>H</v>
      </c>
      <c r="BL15" s="2"/>
    </row>
    <row r="16">
      <c r="A16" s="1" t="s">
        <v>17</v>
      </c>
      <c r="B16" s="12" t="s">
        <v>24</v>
      </c>
      <c r="C16" s="13"/>
      <c r="F16" s="19">
        <v>1.0</v>
      </c>
      <c r="G16" s="19">
        <v>2.0</v>
      </c>
      <c r="H16" s="19">
        <v>3.0</v>
      </c>
      <c r="I16" s="19">
        <v>4.0</v>
      </c>
      <c r="J16" s="19">
        <v>5.0</v>
      </c>
      <c r="M16" s="19">
        <v>6.0</v>
      </c>
      <c r="N16" s="19">
        <v>7.0</v>
      </c>
      <c r="O16" s="19">
        <v>8.0</v>
      </c>
      <c r="P16" s="19">
        <v>9.0</v>
      </c>
      <c r="Q16" s="19">
        <v>10.0</v>
      </c>
      <c r="R16" s="19">
        <v>11.0</v>
      </c>
      <c r="S16" s="19">
        <v>12.0</v>
      </c>
      <c r="T16" s="19">
        <v>13.0</v>
      </c>
      <c r="U16" s="19">
        <v>14.0</v>
      </c>
      <c r="V16" s="19">
        <v>15.0</v>
      </c>
      <c r="W16" s="19">
        <v>16.0</v>
      </c>
      <c r="X16" s="19">
        <v>17.0</v>
      </c>
      <c r="Y16" s="19">
        <v>18.0</v>
      </c>
      <c r="Z16" s="19">
        <v>19.0</v>
      </c>
      <c r="AA16" s="19">
        <v>20.0</v>
      </c>
      <c r="AB16" s="17"/>
      <c r="AC16" s="12" t="str">
        <f t="shared" si="1"/>
        <v>G</v>
      </c>
      <c r="AD16" s="33">
        <v>22.0</v>
      </c>
      <c r="AE16" s="34" t="s">
        <v>38</v>
      </c>
      <c r="AG16" s="11"/>
      <c r="AI16" s="1" t="s">
        <v>17</v>
      </c>
      <c r="AJ16" s="12" t="s">
        <v>24</v>
      </c>
      <c r="AK16" s="13"/>
      <c r="AN16" s="19">
        <v>1.0</v>
      </c>
      <c r="AO16" s="19">
        <v>2.0</v>
      </c>
      <c r="AP16" s="19">
        <v>3.0</v>
      </c>
      <c r="AQ16" s="19">
        <v>4.0</v>
      </c>
      <c r="AR16" s="19">
        <v>5.0</v>
      </c>
      <c r="AU16" s="19">
        <v>6.0</v>
      </c>
      <c r="AV16" s="19">
        <v>7.0</v>
      </c>
      <c r="AW16" s="19">
        <v>8.0</v>
      </c>
      <c r="AX16" s="19">
        <v>9.0</v>
      </c>
      <c r="AY16" s="19">
        <v>10.0</v>
      </c>
      <c r="AZ16" s="19">
        <v>11.0</v>
      </c>
      <c r="BA16" s="19">
        <v>12.0</v>
      </c>
      <c r="BB16" s="19">
        <v>13.0</v>
      </c>
      <c r="BC16" s="19">
        <v>14.0</v>
      </c>
      <c r="BD16" s="19">
        <v>15.0</v>
      </c>
      <c r="BE16" s="19">
        <v>16.0</v>
      </c>
      <c r="BF16" s="19">
        <v>17.0</v>
      </c>
      <c r="BG16" s="19">
        <v>18.0</v>
      </c>
      <c r="BH16" s="19">
        <v>19.0</v>
      </c>
      <c r="BI16" s="19">
        <v>20.0</v>
      </c>
      <c r="BJ16" s="17"/>
      <c r="BK16" s="12" t="str">
        <f t="shared" si="2"/>
        <v>G</v>
      </c>
      <c r="BL16" s="33">
        <v>22.0</v>
      </c>
      <c r="BM16" s="34" t="s">
        <v>38</v>
      </c>
    </row>
    <row r="17">
      <c r="A17" s="1" t="s">
        <v>17</v>
      </c>
      <c r="B17" s="12" t="s">
        <v>26</v>
      </c>
      <c r="C17" s="13"/>
      <c r="F17" s="19">
        <v>1.0</v>
      </c>
      <c r="G17" s="19">
        <v>2.0</v>
      </c>
      <c r="H17" s="19">
        <v>3.0</v>
      </c>
      <c r="I17" s="19">
        <v>4.0</v>
      </c>
      <c r="J17" s="19">
        <v>5.0</v>
      </c>
      <c r="M17" s="19">
        <v>6.0</v>
      </c>
      <c r="N17" s="19">
        <v>7.0</v>
      </c>
      <c r="O17" s="19">
        <v>8.0</v>
      </c>
      <c r="P17" s="19">
        <v>9.0</v>
      </c>
      <c r="Q17" s="19">
        <v>10.0</v>
      </c>
      <c r="R17" s="19">
        <v>11.0</v>
      </c>
      <c r="S17" s="19">
        <v>12.0</v>
      </c>
      <c r="T17" s="19">
        <v>13.0</v>
      </c>
      <c r="U17" s="19">
        <v>14.0</v>
      </c>
      <c r="V17" s="19">
        <v>15.0</v>
      </c>
      <c r="W17" s="19">
        <v>16.0</v>
      </c>
      <c r="X17" s="19">
        <v>17.0</v>
      </c>
      <c r="Y17" s="19">
        <v>18.0</v>
      </c>
      <c r="Z17" s="19">
        <v>19.0</v>
      </c>
      <c r="AA17" s="19">
        <v>20.0</v>
      </c>
      <c r="AB17" s="17"/>
      <c r="AC17" s="12" t="str">
        <f t="shared" si="1"/>
        <v>F</v>
      </c>
      <c r="AI17" s="1" t="s">
        <v>17</v>
      </c>
      <c r="AJ17" s="12" t="s">
        <v>26</v>
      </c>
      <c r="AK17" s="13"/>
      <c r="AN17" s="19">
        <v>1.0</v>
      </c>
      <c r="AO17" s="19">
        <v>2.0</v>
      </c>
      <c r="AP17" s="19">
        <v>3.0</v>
      </c>
      <c r="AQ17" s="19">
        <v>4.0</v>
      </c>
      <c r="AR17" s="19">
        <v>5.0</v>
      </c>
      <c r="AU17" s="19">
        <v>6.0</v>
      </c>
      <c r="AV17" s="19">
        <v>7.0</v>
      </c>
      <c r="AW17" s="19">
        <v>8.0</v>
      </c>
      <c r="AX17" s="19">
        <v>9.0</v>
      </c>
      <c r="AY17" s="19">
        <v>10.0</v>
      </c>
      <c r="AZ17" s="19">
        <v>11.0</v>
      </c>
      <c r="BA17" s="19">
        <v>12.0</v>
      </c>
      <c r="BB17" s="19">
        <v>13.0</v>
      </c>
      <c r="BC17" s="19">
        <v>14.0</v>
      </c>
      <c r="BD17" s="19">
        <v>15.0</v>
      </c>
      <c r="BE17" s="19">
        <v>16.0</v>
      </c>
      <c r="BF17" s="19">
        <v>17.0</v>
      </c>
      <c r="BG17" s="19">
        <v>18.0</v>
      </c>
      <c r="BH17" s="19">
        <v>19.0</v>
      </c>
      <c r="BI17" s="19">
        <v>20.0</v>
      </c>
      <c r="BJ17" s="17"/>
      <c r="BK17" s="12" t="str">
        <f t="shared" si="2"/>
        <v>F</v>
      </c>
    </row>
    <row r="18">
      <c r="A18" s="1" t="s">
        <v>17</v>
      </c>
      <c r="B18" s="12" t="s">
        <v>27</v>
      </c>
      <c r="C18" s="13"/>
      <c r="F18" s="19">
        <v>1.0</v>
      </c>
      <c r="G18" s="19">
        <v>2.0</v>
      </c>
      <c r="H18" s="19">
        <v>3.0</v>
      </c>
      <c r="I18" s="19">
        <v>4.0</v>
      </c>
      <c r="J18" s="19">
        <v>5.0</v>
      </c>
      <c r="M18" s="19">
        <v>6.0</v>
      </c>
      <c r="N18" s="19">
        <v>7.0</v>
      </c>
      <c r="O18" s="19">
        <v>8.0</v>
      </c>
      <c r="P18" s="19">
        <v>9.0</v>
      </c>
      <c r="Q18" s="19">
        <v>10.0</v>
      </c>
      <c r="R18" s="19">
        <v>11.0</v>
      </c>
      <c r="S18" s="19">
        <v>12.0</v>
      </c>
      <c r="T18" s="19">
        <v>13.0</v>
      </c>
      <c r="U18" s="19">
        <v>14.0</v>
      </c>
      <c r="V18" s="19">
        <v>15.0</v>
      </c>
      <c r="W18" s="19">
        <v>16.0</v>
      </c>
      <c r="X18" s="19">
        <v>17.0</v>
      </c>
      <c r="Y18" s="19">
        <v>18.0</v>
      </c>
      <c r="Z18" s="19">
        <v>19.0</v>
      </c>
      <c r="AA18" s="19">
        <v>20.0</v>
      </c>
      <c r="AB18" s="17"/>
      <c r="AC18" s="12" t="str">
        <f t="shared" si="1"/>
        <v>E</v>
      </c>
      <c r="AD18" s="2"/>
      <c r="AI18" s="1" t="s">
        <v>17</v>
      </c>
      <c r="AJ18" s="12" t="s">
        <v>27</v>
      </c>
      <c r="AK18" s="13"/>
      <c r="AN18" s="19">
        <v>1.0</v>
      </c>
      <c r="AO18" s="19">
        <v>2.0</v>
      </c>
      <c r="AP18" s="19">
        <v>3.0</v>
      </c>
      <c r="AQ18" s="19">
        <v>4.0</v>
      </c>
      <c r="AR18" s="19">
        <v>5.0</v>
      </c>
      <c r="AU18" s="19">
        <v>6.0</v>
      </c>
      <c r="AV18" s="19">
        <v>7.0</v>
      </c>
      <c r="AW18" s="19">
        <v>8.0</v>
      </c>
      <c r="AX18" s="19">
        <v>9.0</v>
      </c>
      <c r="AY18" s="19">
        <v>10.0</v>
      </c>
      <c r="AZ18" s="19">
        <v>11.0</v>
      </c>
      <c r="BA18" s="19">
        <v>12.0</v>
      </c>
      <c r="BB18" s="19">
        <v>13.0</v>
      </c>
      <c r="BC18" s="19">
        <v>14.0</v>
      </c>
      <c r="BD18" s="19">
        <v>15.0</v>
      </c>
      <c r="BE18" s="19">
        <v>16.0</v>
      </c>
      <c r="BF18" s="19">
        <v>17.0</v>
      </c>
      <c r="BG18" s="19">
        <v>18.0</v>
      </c>
      <c r="BH18" s="19">
        <v>19.0</v>
      </c>
      <c r="BI18" s="19">
        <v>20.0</v>
      </c>
      <c r="BJ18" s="17"/>
      <c r="BK18" s="12" t="str">
        <f t="shared" si="2"/>
        <v>E</v>
      </c>
      <c r="BL18" s="2"/>
    </row>
    <row r="19">
      <c r="A19" s="1" t="s">
        <v>17</v>
      </c>
      <c r="B19" s="12" t="s">
        <v>28</v>
      </c>
      <c r="C19" s="13"/>
      <c r="F19" s="19">
        <v>1.0</v>
      </c>
      <c r="G19" s="19">
        <v>2.0</v>
      </c>
      <c r="H19" s="19">
        <v>3.0</v>
      </c>
      <c r="I19" s="19">
        <v>4.0</v>
      </c>
      <c r="J19" s="19">
        <v>5.0</v>
      </c>
      <c r="M19" s="19">
        <v>6.0</v>
      </c>
      <c r="N19" s="19">
        <v>7.0</v>
      </c>
      <c r="O19" s="19">
        <v>8.0</v>
      </c>
      <c r="P19" s="19">
        <v>9.0</v>
      </c>
      <c r="Q19" s="19">
        <v>10.0</v>
      </c>
      <c r="R19" s="19">
        <v>11.0</v>
      </c>
      <c r="S19" s="19">
        <v>12.0</v>
      </c>
      <c r="T19" s="19">
        <v>13.0</v>
      </c>
      <c r="U19" s="19">
        <v>14.0</v>
      </c>
      <c r="V19" s="19">
        <v>15.0</v>
      </c>
      <c r="W19" s="19">
        <v>16.0</v>
      </c>
      <c r="X19" s="19">
        <v>17.0</v>
      </c>
      <c r="Y19" s="19">
        <v>18.0</v>
      </c>
      <c r="Z19" s="19">
        <v>19.0</v>
      </c>
      <c r="AA19" s="19">
        <v>20.0</v>
      </c>
      <c r="AB19" s="17"/>
      <c r="AC19" s="12" t="str">
        <f t="shared" si="1"/>
        <v>D</v>
      </c>
      <c r="AD19" s="2"/>
      <c r="AI19" s="1" t="s">
        <v>17</v>
      </c>
      <c r="AJ19" s="12" t="s">
        <v>28</v>
      </c>
      <c r="AK19" s="13"/>
      <c r="AN19" s="19">
        <v>1.0</v>
      </c>
      <c r="AO19" s="19">
        <v>2.0</v>
      </c>
      <c r="AP19" s="19">
        <v>3.0</v>
      </c>
      <c r="AQ19" s="19">
        <v>4.0</v>
      </c>
      <c r="AR19" s="19">
        <v>5.0</v>
      </c>
      <c r="AU19" s="19">
        <v>6.0</v>
      </c>
      <c r="AV19" s="19">
        <v>7.0</v>
      </c>
      <c r="AW19" s="19">
        <v>8.0</v>
      </c>
      <c r="AX19" s="19">
        <v>9.0</v>
      </c>
      <c r="AY19" s="19">
        <v>10.0</v>
      </c>
      <c r="AZ19" s="19">
        <v>11.0</v>
      </c>
      <c r="BA19" s="19">
        <v>12.0</v>
      </c>
      <c r="BB19" s="19">
        <v>13.0</v>
      </c>
      <c r="BC19" s="19">
        <v>14.0</v>
      </c>
      <c r="BD19" s="19">
        <v>15.0</v>
      </c>
      <c r="BE19" s="19">
        <v>16.0</v>
      </c>
      <c r="BF19" s="19">
        <v>17.0</v>
      </c>
      <c r="BG19" s="19">
        <v>18.0</v>
      </c>
      <c r="BH19" s="19">
        <v>19.0</v>
      </c>
      <c r="BI19" s="19">
        <v>20.0</v>
      </c>
      <c r="BJ19" s="17"/>
      <c r="BK19" s="12" t="str">
        <f t="shared" si="2"/>
        <v>D</v>
      </c>
      <c r="BL19" s="2"/>
    </row>
    <row r="20">
      <c r="A20" s="1" t="s">
        <v>17</v>
      </c>
      <c r="B20" s="12" t="s">
        <v>29</v>
      </c>
      <c r="C20" s="13"/>
      <c r="F20" s="19">
        <v>1.0</v>
      </c>
      <c r="G20" s="19">
        <v>2.0</v>
      </c>
      <c r="H20" s="19">
        <v>3.0</v>
      </c>
      <c r="I20" s="19">
        <v>4.0</v>
      </c>
      <c r="J20" s="19">
        <v>5.0</v>
      </c>
      <c r="M20" s="19">
        <v>6.0</v>
      </c>
      <c r="N20" s="19">
        <v>7.0</v>
      </c>
      <c r="O20" s="19">
        <v>8.0</v>
      </c>
      <c r="P20" s="19">
        <v>9.0</v>
      </c>
      <c r="Q20" s="19">
        <v>10.0</v>
      </c>
      <c r="R20" s="19">
        <v>11.0</v>
      </c>
      <c r="S20" s="19">
        <v>12.0</v>
      </c>
      <c r="T20" s="19">
        <v>13.0</v>
      </c>
      <c r="U20" s="19">
        <v>14.0</v>
      </c>
      <c r="V20" s="19">
        <v>15.0</v>
      </c>
      <c r="W20" s="19">
        <v>16.0</v>
      </c>
      <c r="X20" s="19">
        <v>17.0</v>
      </c>
      <c r="Y20" s="19">
        <v>18.0</v>
      </c>
      <c r="Z20" s="19">
        <v>19.0</v>
      </c>
      <c r="AA20" s="19">
        <v>20.0</v>
      </c>
      <c r="AB20" s="17"/>
      <c r="AC20" s="12" t="str">
        <f t="shared" si="1"/>
        <v>C</v>
      </c>
      <c r="AD20" s="2"/>
      <c r="AI20" s="1" t="s">
        <v>17</v>
      </c>
      <c r="AJ20" s="12" t="s">
        <v>29</v>
      </c>
      <c r="AK20" s="13"/>
      <c r="AN20" s="19">
        <v>1.0</v>
      </c>
      <c r="AO20" s="19">
        <v>2.0</v>
      </c>
      <c r="AP20" s="19">
        <v>3.0</v>
      </c>
      <c r="AQ20" s="19">
        <v>4.0</v>
      </c>
      <c r="AR20" s="19">
        <v>5.0</v>
      </c>
      <c r="AU20" s="19">
        <v>6.0</v>
      </c>
      <c r="AV20" s="19">
        <v>7.0</v>
      </c>
      <c r="AW20" s="19">
        <v>8.0</v>
      </c>
      <c r="AX20" s="19">
        <v>9.0</v>
      </c>
      <c r="AY20" s="19">
        <v>10.0</v>
      </c>
      <c r="AZ20" s="19">
        <v>11.0</v>
      </c>
      <c r="BA20" s="19">
        <v>12.0</v>
      </c>
      <c r="BB20" s="19">
        <v>13.0</v>
      </c>
      <c r="BC20" s="19">
        <v>14.0</v>
      </c>
      <c r="BD20" s="19">
        <v>15.0</v>
      </c>
      <c r="BE20" s="19">
        <v>16.0</v>
      </c>
      <c r="BF20" s="19">
        <v>17.0</v>
      </c>
      <c r="BG20" s="19">
        <v>18.0</v>
      </c>
      <c r="BH20" s="19">
        <v>19.0</v>
      </c>
      <c r="BI20" s="19">
        <v>20.0</v>
      </c>
      <c r="BJ20" s="17"/>
      <c r="BK20" s="12" t="str">
        <f t="shared" si="2"/>
        <v>C</v>
      </c>
      <c r="BL20" s="2"/>
    </row>
    <row r="21" ht="15.75" customHeight="1">
      <c r="B21" s="12" t="s">
        <v>30</v>
      </c>
      <c r="C21" s="13"/>
      <c r="F21" s="35">
        <v>1.0</v>
      </c>
      <c r="G21" s="35">
        <v>2.0</v>
      </c>
      <c r="H21" s="35">
        <v>3.0</v>
      </c>
      <c r="I21" s="35">
        <v>4.0</v>
      </c>
      <c r="J21" s="35">
        <v>5.0</v>
      </c>
      <c r="M21" s="35">
        <v>6.0</v>
      </c>
      <c r="N21" s="35">
        <v>7.0</v>
      </c>
      <c r="O21" s="35">
        <v>8.0</v>
      </c>
      <c r="P21" s="35">
        <v>9.0</v>
      </c>
      <c r="Q21" s="35">
        <v>10.0</v>
      </c>
      <c r="R21" s="35">
        <v>11.0</v>
      </c>
      <c r="S21" s="35">
        <v>12.0</v>
      </c>
      <c r="T21" s="35">
        <v>13.0</v>
      </c>
      <c r="U21" s="35">
        <v>14.0</v>
      </c>
      <c r="V21" s="35">
        <v>15.0</v>
      </c>
      <c r="W21" s="35">
        <v>16.0</v>
      </c>
      <c r="X21" s="35">
        <v>17.0</v>
      </c>
      <c r="Y21" s="35">
        <v>18.0</v>
      </c>
      <c r="Z21" s="35">
        <v>19.0</v>
      </c>
      <c r="AA21" s="35">
        <v>20.0</v>
      </c>
      <c r="AB21" s="17"/>
      <c r="AC21" s="12" t="str">
        <f t="shared" si="1"/>
        <v>B</v>
      </c>
      <c r="AD21" s="2"/>
      <c r="AJ21" s="12" t="s">
        <v>30</v>
      </c>
      <c r="AK21" s="13"/>
      <c r="AN21" s="35">
        <v>1.0</v>
      </c>
      <c r="AO21" s="35">
        <v>2.0</v>
      </c>
      <c r="AP21" s="35">
        <v>3.0</v>
      </c>
      <c r="AQ21" s="35">
        <v>4.0</v>
      </c>
      <c r="AR21" s="35">
        <v>5.0</v>
      </c>
      <c r="AU21" s="35">
        <v>6.0</v>
      </c>
      <c r="AV21" s="35">
        <v>7.0</v>
      </c>
      <c r="AW21" s="35">
        <v>8.0</v>
      </c>
      <c r="AX21" s="35">
        <v>9.0</v>
      </c>
      <c r="AY21" s="35">
        <v>10.0</v>
      </c>
      <c r="AZ21" s="35">
        <v>11.0</v>
      </c>
      <c r="BA21" s="35">
        <v>12.0</v>
      </c>
      <c r="BB21" s="35">
        <v>13.0</v>
      </c>
      <c r="BC21" s="35">
        <v>14.0</v>
      </c>
      <c r="BD21" s="35">
        <v>15.0</v>
      </c>
      <c r="BE21" s="35">
        <v>16.0</v>
      </c>
      <c r="BF21" s="35">
        <v>17.0</v>
      </c>
      <c r="BG21" s="35">
        <v>18.0</v>
      </c>
      <c r="BH21" s="35">
        <v>19.0</v>
      </c>
      <c r="BI21" s="35">
        <v>20.0</v>
      </c>
      <c r="BJ21" s="17"/>
      <c r="BK21" s="12" t="str">
        <f t="shared" si="2"/>
        <v>B</v>
      </c>
      <c r="BL21" s="2"/>
    </row>
    <row r="22" ht="34.5" customHeight="1">
      <c r="A22" s="36"/>
      <c r="B22" s="37" t="s">
        <v>31</v>
      </c>
      <c r="C22" s="38"/>
      <c r="D22" s="36"/>
      <c r="E22" s="36"/>
      <c r="F22" s="39">
        <v>1.0</v>
      </c>
      <c r="G22" s="39">
        <v>2.0</v>
      </c>
      <c r="H22" s="39">
        <v>3.0</v>
      </c>
      <c r="I22" s="39">
        <v>4.0</v>
      </c>
      <c r="J22" s="40">
        <v>5.0</v>
      </c>
      <c r="K22" s="36"/>
      <c r="L22" s="36"/>
      <c r="M22" s="39">
        <v>6.0</v>
      </c>
      <c r="N22" s="39">
        <v>7.0</v>
      </c>
      <c r="O22" s="39">
        <v>8.0</v>
      </c>
      <c r="P22" s="39">
        <v>9.0</v>
      </c>
      <c r="Q22" s="39">
        <v>10.0</v>
      </c>
      <c r="R22" s="39">
        <v>11.0</v>
      </c>
      <c r="S22" s="39">
        <v>12.0</v>
      </c>
      <c r="T22" s="39">
        <v>13.0</v>
      </c>
      <c r="U22" s="39">
        <v>14.0</v>
      </c>
      <c r="V22" s="39">
        <v>15.0</v>
      </c>
      <c r="W22" s="39">
        <v>16.0</v>
      </c>
      <c r="X22" s="39">
        <v>17.0</v>
      </c>
      <c r="Y22" s="39">
        <v>18.0</v>
      </c>
      <c r="Z22" s="39">
        <v>19.0</v>
      </c>
      <c r="AB22" s="42"/>
      <c r="AC22" s="37" t="str">
        <f t="shared" si="1"/>
        <v>A</v>
      </c>
      <c r="AD22" s="43"/>
      <c r="AE22" s="36"/>
      <c r="AF22" s="36"/>
      <c r="AG22" s="36"/>
      <c r="AH22" s="36"/>
      <c r="AI22" s="36"/>
      <c r="AJ22" s="37" t="s">
        <v>31</v>
      </c>
      <c r="AK22" s="38"/>
      <c r="AL22" s="36"/>
      <c r="AM22" s="36"/>
      <c r="AN22" s="39">
        <v>1.0</v>
      </c>
      <c r="AO22" s="39">
        <v>2.0</v>
      </c>
      <c r="AP22" s="39">
        <v>3.0</v>
      </c>
      <c r="AQ22" s="39">
        <v>4.0</v>
      </c>
      <c r="AR22" s="40">
        <v>5.0</v>
      </c>
      <c r="AS22" s="36"/>
      <c r="AT22" s="36"/>
      <c r="AU22" s="39">
        <v>6.0</v>
      </c>
      <c r="AV22" s="39">
        <v>7.0</v>
      </c>
      <c r="AW22" s="39">
        <v>8.0</v>
      </c>
      <c r="AX22" s="39">
        <v>9.0</v>
      </c>
      <c r="AY22" s="39">
        <v>10.0</v>
      </c>
      <c r="AZ22" s="39">
        <v>11.0</v>
      </c>
      <c r="BA22" s="39">
        <v>12.0</v>
      </c>
      <c r="BB22" s="39">
        <v>13.0</v>
      </c>
      <c r="BC22" s="39">
        <v>14.0</v>
      </c>
      <c r="BD22" s="39">
        <v>15.0</v>
      </c>
      <c r="BE22" s="39">
        <v>16.0</v>
      </c>
      <c r="BF22" s="39">
        <v>17.0</v>
      </c>
      <c r="BG22" s="39">
        <v>18.0</v>
      </c>
      <c r="BH22" s="39">
        <v>19.0</v>
      </c>
      <c r="BJ22" s="42"/>
      <c r="BK22" s="37" t="str">
        <f t="shared" si="2"/>
        <v>A</v>
      </c>
      <c r="BL22" s="43"/>
      <c r="BM22" s="36"/>
      <c r="BN22" s="36"/>
    </row>
    <row r="23" ht="15.75" customHeight="1">
      <c r="B23" s="18"/>
      <c r="C23" s="44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45"/>
      <c r="AC23" s="18"/>
      <c r="AD23" s="2"/>
      <c r="AJ23" s="18"/>
      <c r="AK23" s="44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45"/>
      <c r="BK23" s="18"/>
      <c r="BL23" s="2"/>
    </row>
    <row r="24" ht="15.75" customHeight="1">
      <c r="B24" s="18"/>
      <c r="C24" s="44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45"/>
      <c r="AC24" s="18"/>
      <c r="AD24" s="2"/>
      <c r="AJ24" s="18"/>
      <c r="AK24" s="44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45"/>
      <c r="BK24" s="18"/>
      <c r="BL24" s="2"/>
    </row>
    <row r="25" ht="15.75" customHeight="1">
      <c r="C25" s="4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47"/>
      <c r="AD25" s="2"/>
      <c r="AK25" s="46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47"/>
      <c r="BL25" s="2"/>
    </row>
    <row r="26" ht="15.75" customHeight="1">
      <c r="C26" s="4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47"/>
      <c r="AD26" s="2"/>
      <c r="AK26" s="46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47"/>
      <c r="BL26" s="2"/>
    </row>
    <row r="27" ht="15.75" customHeight="1">
      <c r="C27" s="4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47"/>
      <c r="AD27" s="2"/>
      <c r="AK27" s="46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47"/>
      <c r="BL27" s="2"/>
    </row>
    <row r="28" ht="15.75" customHeight="1">
      <c r="C28" s="4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47"/>
      <c r="AD28" s="2"/>
      <c r="AK28" s="46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47"/>
      <c r="BL28" s="2"/>
    </row>
    <row r="29" ht="15.75" customHeight="1"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50"/>
      <c r="AD29" s="2"/>
      <c r="AK29" s="48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50"/>
      <c r="BL29" s="2"/>
    </row>
    <row r="30" ht="15.75" customHeight="1">
      <c r="AB30" s="1"/>
      <c r="AD30" s="2"/>
      <c r="BJ30" s="1"/>
      <c r="BL30" s="2"/>
    </row>
    <row r="31" ht="15.75" customHeight="1">
      <c r="AB31" s="1"/>
      <c r="AD31" s="2"/>
      <c r="BJ31" s="1"/>
      <c r="BL31" s="2"/>
    </row>
    <row r="32" ht="15.75" customHeight="1">
      <c r="AB32" s="1"/>
      <c r="AD32" s="2"/>
      <c r="BJ32" s="1"/>
      <c r="BL32" s="2"/>
    </row>
    <row r="33" ht="15.75" customHeight="1">
      <c r="AB33" s="1"/>
      <c r="AD33" s="2"/>
      <c r="BJ33" s="1"/>
      <c r="BL33" s="2"/>
    </row>
    <row r="34" ht="15.75" customHeight="1">
      <c r="AB34" s="1"/>
      <c r="AD34" s="2"/>
      <c r="BJ34" s="1"/>
      <c r="BL34" s="2"/>
    </row>
    <row r="35" ht="15.75" customHeight="1">
      <c r="AB35" s="1"/>
      <c r="AD35" s="2"/>
    </row>
    <row r="36" ht="15.75" customHeight="1">
      <c r="AB36" s="1"/>
      <c r="AD36" s="2"/>
    </row>
    <row r="37" ht="15.75" customHeight="1">
      <c r="AB37" s="1"/>
      <c r="AD37" s="2"/>
    </row>
    <row r="38" ht="15.75" customHeight="1">
      <c r="AB38" s="1"/>
      <c r="AD38" s="2"/>
    </row>
    <row r="39" ht="15.75" customHeight="1">
      <c r="AB39" s="1"/>
      <c r="AD39" s="2"/>
    </row>
    <row r="40" ht="15.75" customHeight="1">
      <c r="AB40" s="1"/>
      <c r="AD40" s="2"/>
    </row>
    <row r="41" ht="15.75" customHeight="1">
      <c r="AB41" s="1"/>
      <c r="AD41" s="2"/>
    </row>
    <row r="42" ht="15.75" customHeight="1">
      <c r="AB42" s="1"/>
      <c r="AD42" s="2"/>
    </row>
    <row r="43" ht="15.75" customHeight="1">
      <c r="AB43" s="1"/>
      <c r="AD43" s="2"/>
    </row>
    <row r="44" ht="15.75" customHeight="1">
      <c r="AB44" s="1"/>
      <c r="AD44" s="2"/>
    </row>
    <row r="45" ht="15.75" customHeight="1">
      <c r="AB45" s="1"/>
      <c r="AD45" s="2"/>
    </row>
    <row r="46" ht="15.75" customHeight="1">
      <c r="AB46" s="1"/>
      <c r="AD46" s="2"/>
    </row>
    <row r="47" ht="15.75" customHeight="1">
      <c r="AB47" s="1"/>
      <c r="AD47" s="2"/>
    </row>
    <row r="48" ht="15.75" customHeight="1">
      <c r="AB48" s="1"/>
      <c r="AD48" s="2"/>
    </row>
    <row r="49" ht="15.75" customHeight="1">
      <c r="AB49" s="1"/>
      <c r="AD49" s="2"/>
    </row>
    <row r="50" ht="15.75" customHeight="1">
      <c r="AB50" s="1"/>
      <c r="AD50" s="2"/>
    </row>
    <row r="51" ht="15.75" customHeight="1">
      <c r="AB51" s="1"/>
      <c r="AD51" s="2"/>
    </row>
    <row r="52" ht="15.75" customHeight="1">
      <c r="AB52" s="1"/>
      <c r="AD52" s="2"/>
    </row>
    <row r="53" ht="15.75" customHeight="1">
      <c r="AB53" s="1"/>
      <c r="AD53" s="2"/>
    </row>
    <row r="54" ht="15.75" customHeight="1">
      <c r="AB54" s="1"/>
      <c r="AD54" s="2"/>
    </row>
    <row r="55" ht="15.75" customHeight="1">
      <c r="AB55" s="1"/>
      <c r="AD55" s="2"/>
    </row>
    <row r="56" ht="15.75" customHeight="1">
      <c r="AB56" s="1"/>
      <c r="AD56" s="2"/>
    </row>
    <row r="57" ht="15.75" customHeight="1">
      <c r="AB57" s="1"/>
      <c r="AD57" s="2"/>
    </row>
    <row r="58" ht="15.75" customHeight="1">
      <c r="AB58" s="1"/>
      <c r="AD58" s="2"/>
    </row>
    <row r="59" ht="15.75" customHeight="1">
      <c r="AB59" s="1"/>
      <c r="AD59" s="2"/>
    </row>
    <row r="60" ht="15.75" customHeight="1">
      <c r="AB60" s="1"/>
      <c r="AD60" s="2"/>
    </row>
    <row r="61" ht="15.75" customHeight="1">
      <c r="AB61" s="1"/>
      <c r="AD61" s="2"/>
    </row>
    <row r="62" ht="15.75" customHeight="1">
      <c r="AB62" s="1"/>
      <c r="AD62" s="2"/>
    </row>
    <row r="63" ht="15.75" customHeight="1">
      <c r="AB63" s="1"/>
      <c r="AD63" s="2"/>
    </row>
    <row r="64" ht="15.75" customHeight="1">
      <c r="AB64" s="1"/>
      <c r="AD64" s="2"/>
    </row>
    <row r="65" ht="15.75" customHeight="1">
      <c r="AB65" s="1"/>
      <c r="AD65" s="2"/>
    </row>
    <row r="66" ht="15.75" customHeight="1">
      <c r="AB66" s="1"/>
      <c r="AD66" s="2"/>
    </row>
    <row r="67" ht="15.75" customHeight="1">
      <c r="AB67" s="1"/>
      <c r="AD67" s="2"/>
    </row>
    <row r="68" ht="15.75" customHeight="1">
      <c r="AB68" s="1"/>
      <c r="AD68" s="2"/>
    </row>
    <row r="69" ht="15.75" customHeight="1">
      <c r="AB69" s="1"/>
      <c r="AD69" s="2"/>
    </row>
    <row r="70" ht="15.75" customHeight="1">
      <c r="AB70" s="1"/>
      <c r="AD70" s="2"/>
    </row>
    <row r="71" ht="15.75" customHeight="1">
      <c r="AB71" s="1"/>
      <c r="AD71" s="2"/>
    </row>
    <row r="72" ht="15.75" customHeight="1">
      <c r="AB72" s="1"/>
      <c r="AD72" s="2"/>
    </row>
    <row r="73" ht="15.75" customHeight="1">
      <c r="AB73" s="1"/>
      <c r="AD73" s="2"/>
    </row>
    <row r="74" ht="15.75" customHeight="1">
      <c r="AB74" s="1"/>
      <c r="AD74" s="2"/>
    </row>
    <row r="75" ht="15.75" customHeight="1">
      <c r="AB75" s="1"/>
      <c r="AD75" s="2"/>
    </row>
    <row r="76" ht="15.75" customHeight="1">
      <c r="AB76" s="1"/>
      <c r="AD76" s="2"/>
    </row>
    <row r="77" ht="15.75" customHeight="1">
      <c r="AB77" s="1"/>
      <c r="AD77" s="2"/>
    </row>
    <row r="78" ht="15.75" customHeight="1">
      <c r="AB78" s="1"/>
      <c r="AD78" s="2"/>
    </row>
    <row r="79" ht="15.75" customHeight="1">
      <c r="AB79" s="1"/>
      <c r="AD79" s="2"/>
    </row>
    <row r="80" ht="15.75" customHeight="1">
      <c r="AB80" s="1"/>
      <c r="AD80" s="2"/>
    </row>
    <row r="81" ht="15.75" customHeight="1">
      <c r="AB81" s="1"/>
      <c r="AD81" s="2"/>
    </row>
    <row r="82" ht="15.75" customHeight="1">
      <c r="AB82" s="1"/>
      <c r="AD82" s="2"/>
    </row>
    <row r="83" ht="15.75" customHeight="1">
      <c r="AB83" s="1"/>
      <c r="AD83" s="2"/>
    </row>
    <row r="84" ht="15.75" customHeight="1">
      <c r="AB84" s="1"/>
      <c r="AD84" s="2"/>
    </row>
    <row r="85" ht="15.75" customHeight="1">
      <c r="AB85" s="1"/>
      <c r="AD85" s="2"/>
    </row>
    <row r="86" ht="15.75" customHeight="1">
      <c r="AB86" s="1"/>
      <c r="AD86" s="2"/>
    </row>
    <row r="87" ht="15.75" customHeight="1">
      <c r="AB87" s="1"/>
      <c r="AD87" s="2"/>
    </row>
    <row r="88" ht="15.75" customHeight="1">
      <c r="AB88" s="1"/>
      <c r="AD88" s="2"/>
    </row>
    <row r="89" ht="15.75" customHeight="1">
      <c r="AB89" s="1"/>
      <c r="AD89" s="2"/>
    </row>
    <row r="90" ht="15.75" customHeight="1">
      <c r="AB90" s="1"/>
      <c r="AD90" s="2"/>
    </row>
    <row r="91" ht="15.75" customHeight="1">
      <c r="AB91" s="1"/>
      <c r="AD91" s="2"/>
    </row>
    <row r="92" ht="15.75" customHeight="1">
      <c r="AB92" s="1"/>
      <c r="AD92" s="2"/>
    </row>
    <row r="93" ht="15.75" customHeight="1">
      <c r="AB93" s="1"/>
      <c r="AD93" s="2"/>
    </row>
    <row r="94" ht="15.75" customHeight="1">
      <c r="AB94" s="1"/>
      <c r="AD94" s="2"/>
    </row>
    <row r="95" ht="15.75" customHeight="1">
      <c r="AB95" s="1"/>
      <c r="AD95" s="2"/>
    </row>
    <row r="96" ht="15.75" customHeight="1">
      <c r="AB96" s="1"/>
      <c r="AD96" s="2"/>
    </row>
    <row r="97" ht="15.75" customHeight="1">
      <c r="AB97" s="1"/>
      <c r="AD97" s="2"/>
    </row>
    <row r="98" ht="15.75" customHeight="1">
      <c r="AB98" s="1"/>
      <c r="AD98" s="2"/>
    </row>
    <row r="99" ht="15.75" customHeight="1">
      <c r="AB99" s="1"/>
      <c r="AD99" s="2"/>
    </row>
    <row r="100" ht="15.75" customHeight="1">
      <c r="AB100" s="1"/>
      <c r="AD100" s="2"/>
    </row>
  </sheetData>
  <mergeCells count="12">
    <mergeCell ref="Z6:AA6"/>
    <mergeCell ref="AL6:AM6"/>
    <mergeCell ref="AN6:AO6"/>
    <mergeCell ref="AT6:AU6"/>
    <mergeCell ref="I3:W3"/>
    <mergeCell ref="D6:E6"/>
    <mergeCell ref="F6:G6"/>
    <mergeCell ref="L6:M6"/>
    <mergeCell ref="Q6:R6"/>
    <mergeCell ref="BH6:BI6"/>
    <mergeCell ref="AQ3:BE3"/>
    <mergeCell ref="AY6:AZ6"/>
  </mergeCells>
  <printOptions/>
  <pageMargins bottom="0.748031496062992" footer="0.0" header="0.0" left="0.196850393700787" right="0.196850393700787" top="0.748031496062992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9.0"/>
    <col customWidth="1" min="3" max="3" width="12.0"/>
    <col customWidth="1" min="4" max="6" width="9.0"/>
    <col customWidth="1" min="7" max="7" width="8.14"/>
    <col customWidth="1" min="8" max="8" width="8.29"/>
    <col customWidth="1" min="9" max="12" width="9.0"/>
    <col customWidth="1" min="13" max="14" width="8.86"/>
    <col customWidth="1" min="15" max="26" width="9.0"/>
    <col customWidth="1" min="27" max="28" width="9.14"/>
    <col customWidth="1" min="29" max="29" width="9.0"/>
    <col customWidth="1" min="30" max="30" width="28.0"/>
    <col customWidth="1" min="31" max="31" width="21.86"/>
    <col customWidth="1" min="32" max="32" width="16.0"/>
    <col customWidth="1" min="33" max="64" width="9.0"/>
    <col customWidth="1" min="65" max="65" width="27.43"/>
    <col customWidth="1" min="66" max="68" width="9.0"/>
  </cols>
  <sheetData>
    <row r="1">
      <c r="AA1" s="1"/>
      <c r="AB1" s="1"/>
      <c r="AD1" s="2"/>
      <c r="BJ1" s="1"/>
      <c r="BK1" s="1"/>
      <c r="BM1" s="2"/>
    </row>
    <row r="2">
      <c r="AA2" s="1"/>
      <c r="AB2" s="1"/>
      <c r="AD2" s="2"/>
      <c r="BJ2" s="1"/>
      <c r="BK2" s="1"/>
      <c r="BM2" s="2"/>
    </row>
    <row r="3">
      <c r="H3" s="3" t="s">
        <v>39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  <c r="AA3" s="1"/>
      <c r="AB3" s="1"/>
      <c r="AD3" s="2"/>
      <c r="AQ3" s="3" t="s">
        <v>40</v>
      </c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5"/>
      <c r="BJ3" s="1"/>
      <c r="BK3" s="1"/>
      <c r="BM3" s="2"/>
    </row>
    <row r="4">
      <c r="K4" s="6"/>
      <c r="L4" s="6"/>
      <c r="M4" s="6"/>
      <c r="N4" s="6"/>
      <c r="AA4" s="1"/>
      <c r="AB4" s="1"/>
      <c r="AD4" s="2"/>
      <c r="AT4" s="6"/>
      <c r="AU4" s="6"/>
      <c r="AV4" s="6"/>
      <c r="AW4" s="6"/>
      <c r="BJ4" s="1"/>
      <c r="BK4" s="1"/>
      <c r="BM4" s="2"/>
    </row>
    <row r="5"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D5" s="10" t="s">
        <v>2</v>
      </c>
      <c r="AE5" s="10">
        <v>18.0</v>
      </c>
      <c r="AF5" s="11"/>
      <c r="AG5" s="11"/>
      <c r="AL5" s="7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  <c r="BM5" s="10" t="s">
        <v>2</v>
      </c>
      <c r="BN5" s="10">
        <v>18.0</v>
      </c>
      <c r="BO5" s="11"/>
      <c r="BP5" s="11"/>
    </row>
    <row r="6">
      <c r="B6" s="12" t="s">
        <v>3</v>
      </c>
      <c r="C6" s="13"/>
      <c r="D6" s="14">
        <v>1.0</v>
      </c>
      <c r="E6" s="15"/>
      <c r="F6" s="14">
        <v>2.0</v>
      </c>
      <c r="G6" s="15"/>
      <c r="H6" s="16">
        <v>3.0</v>
      </c>
      <c r="I6" s="16">
        <v>4.0</v>
      </c>
      <c r="J6" s="16">
        <v>5.0</v>
      </c>
      <c r="K6" s="16">
        <v>6.0</v>
      </c>
      <c r="L6" s="14">
        <v>7.0</v>
      </c>
      <c r="M6" s="15"/>
      <c r="N6" s="16">
        <v>8.0</v>
      </c>
      <c r="O6" s="16">
        <v>9.0</v>
      </c>
      <c r="P6" s="16">
        <v>10.0</v>
      </c>
      <c r="Q6" s="14">
        <v>11.0</v>
      </c>
      <c r="R6" s="15"/>
      <c r="S6" s="16">
        <v>12.0</v>
      </c>
      <c r="T6" s="16">
        <v>13.0</v>
      </c>
      <c r="U6" s="16">
        <v>14.0</v>
      </c>
      <c r="V6" s="16">
        <v>15.0</v>
      </c>
      <c r="W6" s="16">
        <v>16.0</v>
      </c>
      <c r="X6" s="14">
        <v>17.0</v>
      </c>
      <c r="Y6" s="15"/>
      <c r="Z6" s="14">
        <v>18.0</v>
      </c>
      <c r="AA6" s="15"/>
      <c r="AB6" s="17"/>
      <c r="AC6" s="12" t="str">
        <f>B6</f>
        <v>Q</v>
      </c>
      <c r="AD6" s="10" t="s">
        <v>4</v>
      </c>
      <c r="AE6" s="10">
        <v>283.0</v>
      </c>
      <c r="AF6" s="11"/>
      <c r="AG6" s="11"/>
      <c r="AK6" s="12" t="s">
        <v>3</v>
      </c>
      <c r="AL6" s="13"/>
      <c r="AM6" s="14">
        <v>1.0</v>
      </c>
      <c r="AN6" s="15"/>
      <c r="AO6" s="14">
        <v>2.0</v>
      </c>
      <c r="AP6" s="15"/>
      <c r="AQ6" s="16">
        <v>3.0</v>
      </c>
      <c r="AR6" s="16">
        <v>4.0</v>
      </c>
      <c r="AS6" s="16">
        <v>5.0</v>
      </c>
      <c r="AT6" s="16">
        <v>6.0</v>
      </c>
      <c r="AU6" s="14">
        <v>7.0</v>
      </c>
      <c r="AV6" s="15"/>
      <c r="AW6" s="16">
        <v>8.0</v>
      </c>
      <c r="AX6" s="16">
        <v>9.0</v>
      </c>
      <c r="AY6" s="16">
        <v>10.0</v>
      </c>
      <c r="AZ6" s="14">
        <v>11.0</v>
      </c>
      <c r="BA6" s="15"/>
      <c r="BB6" s="16">
        <v>12.0</v>
      </c>
      <c r="BC6" s="16">
        <v>13.0</v>
      </c>
      <c r="BD6" s="16">
        <v>14.0</v>
      </c>
      <c r="BE6" s="16">
        <v>15.0</v>
      </c>
      <c r="BF6" s="16">
        <v>16.0</v>
      </c>
      <c r="BG6" s="14">
        <v>17.0</v>
      </c>
      <c r="BH6" s="15"/>
      <c r="BI6" s="14">
        <v>18.0</v>
      </c>
      <c r="BJ6" s="15"/>
      <c r="BK6" s="17"/>
      <c r="BL6" s="12" t="str">
        <f>AK6</f>
        <v>Q</v>
      </c>
      <c r="BM6" s="10" t="s">
        <v>4</v>
      </c>
      <c r="BN6" s="10">
        <v>283.0</v>
      </c>
      <c r="BO6" s="11"/>
      <c r="BP6" s="11"/>
    </row>
    <row r="7">
      <c r="A7" s="1"/>
      <c r="B7" s="12"/>
      <c r="C7" s="1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7"/>
      <c r="AC7" s="12"/>
      <c r="AD7" s="10" t="s">
        <v>5</v>
      </c>
      <c r="AE7" s="10" t="str">
        <f>+AE5+AE6</f>
        <v>301</v>
      </c>
      <c r="AF7" s="11"/>
      <c r="AG7" s="11"/>
      <c r="AH7" s="1"/>
      <c r="AI7" s="1"/>
      <c r="AJ7" s="1"/>
      <c r="AK7" s="12"/>
      <c r="AL7" s="13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7"/>
      <c r="BL7" s="12"/>
      <c r="BM7" s="10" t="s">
        <v>5</v>
      </c>
      <c r="BN7" s="10" t="str">
        <f>+BN5+BN6</f>
        <v>301</v>
      </c>
      <c r="BO7" s="11"/>
      <c r="BP7" s="11"/>
    </row>
    <row r="8">
      <c r="A8" s="1" t="s">
        <v>6</v>
      </c>
      <c r="B8" s="12" t="s">
        <v>7</v>
      </c>
      <c r="C8" s="13"/>
      <c r="D8" s="19">
        <v>1.0</v>
      </c>
      <c r="E8" s="19">
        <v>2.0</v>
      </c>
      <c r="F8" s="19">
        <v>3.0</v>
      </c>
      <c r="G8" s="19">
        <v>4.0</v>
      </c>
      <c r="H8" s="19">
        <v>5.0</v>
      </c>
      <c r="I8" s="19">
        <v>6.0</v>
      </c>
      <c r="J8" s="19">
        <v>7.0</v>
      </c>
      <c r="K8" s="19">
        <v>8.0</v>
      </c>
      <c r="L8" s="19">
        <v>9.0</v>
      </c>
      <c r="M8" s="19">
        <v>10.0</v>
      </c>
      <c r="N8" s="19">
        <v>11.0</v>
      </c>
      <c r="O8" s="19">
        <v>12.0</v>
      </c>
      <c r="P8" s="19">
        <v>13.0</v>
      </c>
      <c r="Q8" s="19">
        <v>14.0</v>
      </c>
      <c r="R8" s="12"/>
      <c r="S8" s="12"/>
      <c r="T8" s="19">
        <v>15.0</v>
      </c>
      <c r="U8" s="19">
        <v>16.0</v>
      </c>
      <c r="V8" s="19">
        <v>17.0</v>
      </c>
      <c r="W8" s="19">
        <v>18.0</v>
      </c>
      <c r="X8" s="19">
        <v>19.0</v>
      </c>
      <c r="Y8" s="19">
        <v>20.0</v>
      </c>
      <c r="Z8" s="19">
        <v>21.0</v>
      </c>
      <c r="AA8" s="19">
        <v>22.0</v>
      </c>
      <c r="AB8" s="17"/>
      <c r="AC8" s="12" t="str">
        <f t="shared" ref="AC8:AC21" si="1">B8</f>
        <v>P</v>
      </c>
      <c r="AD8" s="20"/>
      <c r="AE8" s="11"/>
      <c r="AF8" s="11"/>
      <c r="AG8" s="11"/>
      <c r="AJ8" s="1" t="s">
        <v>6</v>
      </c>
      <c r="AK8" s="12" t="s">
        <v>7</v>
      </c>
      <c r="AL8" s="13"/>
      <c r="AM8" s="19">
        <v>1.0</v>
      </c>
      <c r="AN8" s="19">
        <v>2.0</v>
      </c>
      <c r="AO8" s="19">
        <v>3.0</v>
      </c>
      <c r="AP8" s="19">
        <v>4.0</v>
      </c>
      <c r="AQ8" s="19">
        <v>5.0</v>
      </c>
      <c r="AR8" s="19">
        <v>6.0</v>
      </c>
      <c r="AS8" s="19">
        <v>7.0</v>
      </c>
      <c r="AT8" s="19">
        <v>8.0</v>
      </c>
      <c r="AU8" s="19">
        <v>9.0</v>
      </c>
      <c r="AV8" s="19">
        <v>10.0</v>
      </c>
      <c r="AW8" s="19">
        <v>11.0</v>
      </c>
      <c r="AX8" s="19">
        <v>12.0</v>
      </c>
      <c r="AY8" s="19">
        <v>13.0</v>
      </c>
      <c r="AZ8" s="19">
        <v>14.0</v>
      </c>
      <c r="BA8" s="12"/>
      <c r="BB8" s="12"/>
      <c r="BC8" s="19">
        <v>15.0</v>
      </c>
      <c r="BD8" s="19">
        <v>16.0</v>
      </c>
      <c r="BE8" s="19">
        <v>17.0</v>
      </c>
      <c r="BF8" s="19">
        <v>18.0</v>
      </c>
      <c r="BG8" s="19">
        <v>19.0</v>
      </c>
      <c r="BH8" s="19">
        <v>20.0</v>
      </c>
      <c r="BI8" s="19">
        <v>21.0</v>
      </c>
      <c r="BJ8" s="19">
        <v>22.0</v>
      </c>
      <c r="BK8" s="17"/>
      <c r="BL8" s="12" t="str">
        <f t="shared" ref="BL8:BL21" si="2">AK8</f>
        <v>P</v>
      </c>
      <c r="BM8" s="20"/>
      <c r="BN8" s="11"/>
      <c r="BO8" s="11"/>
      <c r="BP8" s="11"/>
    </row>
    <row r="9">
      <c r="A9" s="1" t="s">
        <v>6</v>
      </c>
      <c r="B9" s="12" t="s">
        <v>8</v>
      </c>
      <c r="C9" s="13"/>
      <c r="D9" s="21">
        <v>1.0</v>
      </c>
      <c r="E9" s="21">
        <v>2.0</v>
      </c>
      <c r="F9" s="21">
        <v>3.0</v>
      </c>
      <c r="G9" s="21">
        <v>4.0</v>
      </c>
      <c r="H9" s="21">
        <v>5.0</v>
      </c>
      <c r="I9" s="21">
        <v>6.0</v>
      </c>
      <c r="J9" s="21">
        <v>7.0</v>
      </c>
      <c r="K9" s="21">
        <v>8.0</v>
      </c>
      <c r="L9" s="21">
        <v>9.0</v>
      </c>
      <c r="M9" s="21">
        <v>10.0</v>
      </c>
      <c r="N9" s="21">
        <v>11.0</v>
      </c>
      <c r="O9" s="21">
        <v>12.0</v>
      </c>
      <c r="P9" s="21">
        <v>13.0</v>
      </c>
      <c r="Q9" s="21">
        <v>14.0</v>
      </c>
      <c r="R9" s="12"/>
      <c r="S9" s="12"/>
      <c r="T9" s="21">
        <v>15.0</v>
      </c>
      <c r="U9" s="21">
        <v>16.0</v>
      </c>
      <c r="V9" s="21">
        <v>17.0</v>
      </c>
      <c r="W9" s="21">
        <v>18.0</v>
      </c>
      <c r="X9" s="21">
        <v>19.0</v>
      </c>
      <c r="Y9" s="21">
        <v>20.0</v>
      </c>
      <c r="Z9" s="21">
        <v>21.0</v>
      </c>
      <c r="AA9" s="21">
        <v>22.0</v>
      </c>
      <c r="AB9" s="17"/>
      <c r="AC9" s="12" t="str">
        <f t="shared" si="1"/>
        <v>N</v>
      </c>
      <c r="AD9" s="22" t="s">
        <v>9</v>
      </c>
      <c r="AE9" s="23">
        <v>37.0</v>
      </c>
      <c r="AF9" s="24" t="str">
        <f>+AE9/AE12</f>
        <v>12%</v>
      </c>
      <c r="AG9" s="11"/>
      <c r="AJ9" s="1" t="s">
        <v>6</v>
      </c>
      <c r="AK9" s="12" t="s">
        <v>8</v>
      </c>
      <c r="AL9" s="13"/>
      <c r="AM9" s="21">
        <v>1.0</v>
      </c>
      <c r="AN9" s="21">
        <v>2.0</v>
      </c>
      <c r="AO9" s="21">
        <v>3.0</v>
      </c>
      <c r="AP9" s="21">
        <v>4.0</v>
      </c>
      <c r="AQ9" s="21">
        <v>5.0</v>
      </c>
      <c r="AR9" s="21">
        <v>6.0</v>
      </c>
      <c r="AS9" s="21">
        <v>7.0</v>
      </c>
      <c r="AT9" s="21">
        <v>8.0</v>
      </c>
      <c r="AU9" s="21">
        <v>9.0</v>
      </c>
      <c r="AV9" s="21">
        <v>10.0</v>
      </c>
      <c r="AW9" s="21">
        <v>11.0</v>
      </c>
      <c r="AX9" s="21">
        <v>12.0</v>
      </c>
      <c r="AY9" s="21">
        <v>13.0</v>
      </c>
      <c r="AZ9" s="21">
        <v>14.0</v>
      </c>
      <c r="BA9" s="12"/>
      <c r="BB9" s="12"/>
      <c r="BC9" s="21">
        <v>15.0</v>
      </c>
      <c r="BD9" s="21">
        <v>16.0</v>
      </c>
      <c r="BE9" s="21">
        <v>17.0</v>
      </c>
      <c r="BF9" s="21">
        <v>18.0</v>
      </c>
      <c r="BG9" s="21">
        <v>19.0</v>
      </c>
      <c r="BH9" s="21">
        <v>20.0</v>
      </c>
      <c r="BI9" s="21">
        <v>21.0</v>
      </c>
      <c r="BJ9" s="21">
        <v>22.0</v>
      </c>
      <c r="BK9" s="17"/>
      <c r="BL9" s="12" t="str">
        <f t="shared" si="2"/>
        <v>N</v>
      </c>
      <c r="BM9" s="22" t="s">
        <v>10</v>
      </c>
      <c r="BN9" s="23">
        <v>37.0</v>
      </c>
      <c r="BO9" s="24" t="str">
        <f>+BN9/BN12</f>
        <v>12%</v>
      </c>
      <c r="BP9" s="11"/>
    </row>
    <row r="10">
      <c r="A10" s="1" t="s">
        <v>6</v>
      </c>
      <c r="B10" s="12" t="s">
        <v>11</v>
      </c>
      <c r="C10" s="13"/>
      <c r="D10" s="19">
        <v>1.0</v>
      </c>
      <c r="E10" s="19">
        <v>2.0</v>
      </c>
      <c r="F10" s="19">
        <v>3.0</v>
      </c>
      <c r="G10" s="19">
        <v>4.0</v>
      </c>
      <c r="H10" s="19">
        <v>5.0</v>
      </c>
      <c r="I10" s="19">
        <v>6.0</v>
      </c>
      <c r="J10" s="19">
        <v>7.0</v>
      </c>
      <c r="K10" s="19">
        <v>8.0</v>
      </c>
      <c r="L10" s="19">
        <v>9.0</v>
      </c>
      <c r="M10" s="19">
        <v>10.0</v>
      </c>
      <c r="N10" s="19">
        <v>11.0</v>
      </c>
      <c r="O10" s="19">
        <v>12.0</v>
      </c>
      <c r="P10" s="19">
        <v>13.0</v>
      </c>
      <c r="Q10" s="19">
        <v>14.0</v>
      </c>
      <c r="R10" s="12"/>
      <c r="S10" s="12"/>
      <c r="T10" s="19">
        <v>15.0</v>
      </c>
      <c r="U10" s="19">
        <v>16.0</v>
      </c>
      <c r="V10" s="19">
        <v>17.0</v>
      </c>
      <c r="W10" s="19">
        <v>18.0</v>
      </c>
      <c r="X10" s="19">
        <v>19.0</v>
      </c>
      <c r="Y10" s="19">
        <v>20.0</v>
      </c>
      <c r="Z10" s="19">
        <v>21.0</v>
      </c>
      <c r="AA10" s="19">
        <v>22.0</v>
      </c>
      <c r="AB10" s="17"/>
      <c r="AC10" s="12" t="str">
        <f t="shared" si="1"/>
        <v>M</v>
      </c>
      <c r="AD10" s="25" t="s">
        <v>12</v>
      </c>
      <c r="AE10" s="23">
        <v>246.0</v>
      </c>
      <c r="AF10" s="24" t="str">
        <f>+AE10/AE12</f>
        <v>82%</v>
      </c>
      <c r="AG10" s="11"/>
      <c r="AJ10" s="1" t="s">
        <v>6</v>
      </c>
      <c r="AK10" s="12" t="s">
        <v>11</v>
      </c>
      <c r="AL10" s="13"/>
      <c r="AM10" s="19">
        <v>1.0</v>
      </c>
      <c r="AN10" s="19">
        <v>2.0</v>
      </c>
      <c r="AO10" s="19">
        <v>3.0</v>
      </c>
      <c r="AP10" s="19">
        <v>4.0</v>
      </c>
      <c r="AQ10" s="19">
        <v>5.0</v>
      </c>
      <c r="AR10" s="19">
        <v>6.0</v>
      </c>
      <c r="AS10" s="19">
        <v>7.0</v>
      </c>
      <c r="AT10" s="19">
        <v>8.0</v>
      </c>
      <c r="AU10" s="19">
        <v>9.0</v>
      </c>
      <c r="AV10" s="19">
        <v>10.0</v>
      </c>
      <c r="AW10" s="19">
        <v>11.0</v>
      </c>
      <c r="AX10" s="19">
        <v>12.0</v>
      </c>
      <c r="AY10" s="19">
        <v>13.0</v>
      </c>
      <c r="AZ10" s="19">
        <v>14.0</v>
      </c>
      <c r="BA10" s="12"/>
      <c r="BB10" s="12"/>
      <c r="BC10" s="19">
        <v>15.0</v>
      </c>
      <c r="BD10" s="19">
        <v>16.0</v>
      </c>
      <c r="BE10" s="19">
        <v>17.0</v>
      </c>
      <c r="BF10" s="19">
        <v>18.0</v>
      </c>
      <c r="BG10" s="19">
        <v>19.0</v>
      </c>
      <c r="BH10" s="19">
        <v>20.0</v>
      </c>
      <c r="BI10" s="19">
        <v>21.0</v>
      </c>
      <c r="BJ10" s="19">
        <v>22.0</v>
      </c>
      <c r="BK10" s="17"/>
      <c r="BL10" s="12" t="str">
        <f t="shared" si="2"/>
        <v>M</v>
      </c>
      <c r="BM10" s="25" t="s">
        <v>13</v>
      </c>
      <c r="BN10" s="23">
        <v>246.0</v>
      </c>
      <c r="BO10" s="24" t="str">
        <f>+BN10/BN12</f>
        <v>82%</v>
      </c>
      <c r="BP10" s="11"/>
    </row>
    <row r="11" ht="44.25" customHeight="1">
      <c r="A11" s="1" t="s">
        <v>6</v>
      </c>
      <c r="B11" s="12" t="s">
        <v>14</v>
      </c>
      <c r="C11" s="13"/>
      <c r="D11" s="19">
        <v>1.0</v>
      </c>
      <c r="E11" s="19">
        <v>2.0</v>
      </c>
      <c r="F11" s="19">
        <v>3.0</v>
      </c>
      <c r="G11" s="19">
        <v>4.0</v>
      </c>
      <c r="H11" s="19">
        <v>5.0</v>
      </c>
      <c r="I11" s="19">
        <v>6.0</v>
      </c>
      <c r="J11" s="19">
        <v>7.0</v>
      </c>
      <c r="K11" s="19">
        <v>8.0</v>
      </c>
      <c r="L11" s="19">
        <v>9.0</v>
      </c>
      <c r="M11" s="19">
        <v>10.0</v>
      </c>
      <c r="N11" s="19">
        <v>11.0</v>
      </c>
      <c r="O11" s="19">
        <v>12.0</v>
      </c>
      <c r="P11" s="19">
        <v>13.0</v>
      </c>
      <c r="Q11" s="19">
        <v>14.0</v>
      </c>
      <c r="R11" s="12"/>
      <c r="S11" s="12"/>
      <c r="T11" s="19">
        <v>15.0</v>
      </c>
      <c r="U11" s="19">
        <v>16.0</v>
      </c>
      <c r="V11" s="19">
        <v>17.0</v>
      </c>
      <c r="W11" s="19">
        <v>18.0</v>
      </c>
      <c r="X11" s="19">
        <v>19.0</v>
      </c>
      <c r="Y11" s="19">
        <v>20.0</v>
      </c>
      <c r="Z11" s="19">
        <v>21.0</v>
      </c>
      <c r="AA11" s="19">
        <v>22.0</v>
      </c>
      <c r="AB11" s="17"/>
      <c r="AC11" s="12" t="str">
        <f t="shared" si="1"/>
        <v>L</v>
      </c>
      <c r="AD11" s="26" t="s">
        <v>15</v>
      </c>
      <c r="AE11" s="23">
        <v>18.0</v>
      </c>
      <c r="AF11" s="24" t="str">
        <f>+AE11/AE12</f>
        <v>6%</v>
      </c>
      <c r="AG11" s="11"/>
      <c r="AJ11" s="1" t="s">
        <v>6</v>
      </c>
      <c r="AK11" s="12" t="s">
        <v>14</v>
      </c>
      <c r="AL11" s="13"/>
      <c r="AM11" s="19">
        <v>1.0</v>
      </c>
      <c r="AN11" s="19">
        <v>2.0</v>
      </c>
      <c r="AO11" s="19">
        <v>3.0</v>
      </c>
      <c r="AP11" s="19">
        <v>4.0</v>
      </c>
      <c r="AQ11" s="19">
        <v>5.0</v>
      </c>
      <c r="AR11" s="19">
        <v>6.0</v>
      </c>
      <c r="AS11" s="19">
        <v>7.0</v>
      </c>
      <c r="AT11" s="19">
        <v>8.0</v>
      </c>
      <c r="AU11" s="19">
        <v>9.0</v>
      </c>
      <c r="AV11" s="19">
        <v>10.0</v>
      </c>
      <c r="AW11" s="19">
        <v>11.0</v>
      </c>
      <c r="AX11" s="19">
        <v>12.0</v>
      </c>
      <c r="AY11" s="19">
        <v>13.0</v>
      </c>
      <c r="AZ11" s="19">
        <v>14.0</v>
      </c>
      <c r="BA11" s="12"/>
      <c r="BB11" s="12"/>
      <c r="BC11" s="19">
        <v>15.0</v>
      </c>
      <c r="BD11" s="19">
        <v>16.0</v>
      </c>
      <c r="BE11" s="19">
        <v>17.0</v>
      </c>
      <c r="BF11" s="19">
        <v>18.0</v>
      </c>
      <c r="BG11" s="19">
        <v>19.0</v>
      </c>
      <c r="BH11" s="19">
        <v>20.0</v>
      </c>
      <c r="BI11" s="19">
        <v>21.0</v>
      </c>
      <c r="BJ11" s="19">
        <v>22.0</v>
      </c>
      <c r="BK11" s="17"/>
      <c r="BL11" s="12" t="str">
        <f t="shared" si="2"/>
        <v>L</v>
      </c>
      <c r="BM11" s="26" t="s">
        <v>16</v>
      </c>
      <c r="BN11" s="23">
        <v>18.0</v>
      </c>
      <c r="BO11" s="24" t="str">
        <f>+BN11/BN12</f>
        <v>6%</v>
      </c>
      <c r="BP11" s="11"/>
    </row>
    <row r="12">
      <c r="A12" s="1" t="s">
        <v>17</v>
      </c>
      <c r="B12" s="12" t="s">
        <v>18</v>
      </c>
      <c r="C12" s="13"/>
      <c r="D12" s="19">
        <v>1.0</v>
      </c>
      <c r="E12" s="19">
        <v>2.0</v>
      </c>
      <c r="F12" s="19">
        <v>3.0</v>
      </c>
      <c r="G12" s="19">
        <v>4.0</v>
      </c>
      <c r="H12" s="19">
        <v>5.0</v>
      </c>
      <c r="I12" s="19">
        <v>6.0</v>
      </c>
      <c r="J12" s="19">
        <v>7.0</v>
      </c>
      <c r="K12" s="19">
        <v>8.0</v>
      </c>
      <c r="L12" s="19">
        <v>9.0</v>
      </c>
      <c r="M12" s="19">
        <v>10.0</v>
      </c>
      <c r="N12" s="19">
        <v>11.0</v>
      </c>
      <c r="O12" s="19">
        <v>12.0</v>
      </c>
      <c r="P12" s="19">
        <v>13.0</v>
      </c>
      <c r="Q12" s="19">
        <v>14.0</v>
      </c>
      <c r="R12" s="12"/>
      <c r="S12" s="12"/>
      <c r="T12" s="19">
        <v>15.0</v>
      </c>
      <c r="U12" s="19">
        <v>16.0</v>
      </c>
      <c r="V12" s="19">
        <v>17.0</v>
      </c>
      <c r="W12" s="19">
        <v>18.0</v>
      </c>
      <c r="X12" s="19">
        <v>19.0</v>
      </c>
      <c r="Y12" s="19">
        <v>20.0</v>
      </c>
      <c r="Z12" s="19">
        <v>21.0</v>
      </c>
      <c r="AA12" s="19">
        <v>22.0</v>
      </c>
      <c r="AB12" s="17"/>
      <c r="AC12" s="12" t="str">
        <f t="shared" si="1"/>
        <v>K</v>
      </c>
      <c r="AD12" s="28" t="s">
        <v>19</v>
      </c>
      <c r="AE12" s="29" t="str">
        <f t="shared" ref="AE12:AF12" si="3">SUM(AE9:AE11)</f>
        <v>301</v>
      </c>
      <c r="AF12" s="30" t="str">
        <f t="shared" si="3"/>
        <v>100%</v>
      </c>
      <c r="AG12" s="11"/>
      <c r="AJ12" s="1" t="s">
        <v>17</v>
      </c>
      <c r="AK12" s="12" t="s">
        <v>18</v>
      </c>
      <c r="AL12" s="13"/>
      <c r="AM12" s="19">
        <v>1.0</v>
      </c>
      <c r="AN12" s="19">
        <v>2.0</v>
      </c>
      <c r="AO12" s="19">
        <v>3.0</v>
      </c>
      <c r="AP12" s="19">
        <v>4.0</v>
      </c>
      <c r="AQ12" s="19">
        <v>5.0</v>
      </c>
      <c r="AR12" s="19">
        <v>6.0</v>
      </c>
      <c r="AS12" s="19">
        <v>7.0</v>
      </c>
      <c r="AT12" s="19">
        <v>8.0</v>
      </c>
      <c r="AU12" s="19">
        <v>9.0</v>
      </c>
      <c r="AV12" s="19">
        <v>10.0</v>
      </c>
      <c r="AW12" s="19">
        <v>11.0</v>
      </c>
      <c r="AX12" s="19">
        <v>12.0</v>
      </c>
      <c r="AY12" s="19">
        <v>13.0</v>
      </c>
      <c r="AZ12" s="19">
        <v>14.0</v>
      </c>
      <c r="BA12" s="12"/>
      <c r="BB12" s="12"/>
      <c r="BC12" s="19">
        <v>15.0</v>
      </c>
      <c r="BD12" s="19">
        <v>16.0</v>
      </c>
      <c r="BE12" s="19">
        <v>17.0</v>
      </c>
      <c r="BF12" s="19">
        <v>18.0</v>
      </c>
      <c r="BG12" s="19">
        <v>19.0</v>
      </c>
      <c r="BH12" s="19">
        <v>20.0</v>
      </c>
      <c r="BI12" s="19">
        <v>21.0</v>
      </c>
      <c r="BJ12" s="19">
        <v>22.0</v>
      </c>
      <c r="BK12" s="17"/>
      <c r="BL12" s="12" t="str">
        <f t="shared" si="2"/>
        <v>K</v>
      </c>
      <c r="BM12" s="28" t="s">
        <v>19</v>
      </c>
      <c r="BN12" s="29" t="str">
        <f t="shared" ref="BN12:BO12" si="4">SUM(BN9:BN11)</f>
        <v>301</v>
      </c>
      <c r="BO12" s="30" t="str">
        <f t="shared" si="4"/>
        <v>100%</v>
      </c>
      <c r="BP12" s="11"/>
    </row>
    <row r="13" ht="20.25" customHeight="1">
      <c r="A13" s="1" t="s">
        <v>17</v>
      </c>
      <c r="B13" s="12" t="s">
        <v>20</v>
      </c>
      <c r="C13" s="13"/>
      <c r="D13" s="19">
        <v>1.0</v>
      </c>
      <c r="E13" s="19">
        <v>2.0</v>
      </c>
      <c r="F13" s="19">
        <v>3.0</v>
      </c>
      <c r="G13" s="19">
        <v>4.0</v>
      </c>
      <c r="H13" s="19">
        <v>5.0</v>
      </c>
      <c r="I13" s="19">
        <v>6.0</v>
      </c>
      <c r="J13" s="19">
        <v>7.0</v>
      </c>
      <c r="K13" s="19">
        <v>8.0</v>
      </c>
      <c r="L13" s="19">
        <v>9.0</v>
      </c>
      <c r="M13" s="19">
        <v>10.0</v>
      </c>
      <c r="N13" s="19">
        <v>11.0</v>
      </c>
      <c r="O13" s="19">
        <v>12.0</v>
      </c>
      <c r="P13" s="19">
        <v>13.0</v>
      </c>
      <c r="Q13" s="19">
        <v>14.0</v>
      </c>
      <c r="R13" s="12"/>
      <c r="S13" s="12"/>
      <c r="T13" s="19">
        <v>15.0</v>
      </c>
      <c r="U13" s="19">
        <v>16.0</v>
      </c>
      <c r="V13" s="19">
        <v>17.0</v>
      </c>
      <c r="W13" s="19">
        <v>18.0</v>
      </c>
      <c r="X13" s="19">
        <v>19.0</v>
      </c>
      <c r="Y13" s="19">
        <v>20.0</v>
      </c>
      <c r="Z13" s="19">
        <v>21.0</v>
      </c>
      <c r="AA13" s="19">
        <v>22.0</v>
      </c>
      <c r="AB13" s="17"/>
      <c r="AC13" s="12" t="str">
        <f t="shared" si="1"/>
        <v>J</v>
      </c>
      <c r="AD13" s="31" t="s">
        <v>21</v>
      </c>
      <c r="AE13" s="31">
        <v>1.0</v>
      </c>
      <c r="AF13" s="32" t="s">
        <v>41</v>
      </c>
      <c r="AG13" s="11"/>
      <c r="AJ13" s="1" t="s">
        <v>17</v>
      </c>
      <c r="AK13" s="12" t="s">
        <v>20</v>
      </c>
      <c r="AL13" s="13"/>
      <c r="AM13" s="19">
        <v>1.0</v>
      </c>
      <c r="AN13" s="19">
        <v>2.0</v>
      </c>
      <c r="AO13" s="19">
        <v>3.0</v>
      </c>
      <c r="AP13" s="19">
        <v>4.0</v>
      </c>
      <c r="AQ13" s="19">
        <v>5.0</v>
      </c>
      <c r="AR13" s="19">
        <v>6.0</v>
      </c>
      <c r="AS13" s="19">
        <v>7.0</v>
      </c>
      <c r="AT13" s="19">
        <v>8.0</v>
      </c>
      <c r="AU13" s="19">
        <v>9.0</v>
      </c>
      <c r="AV13" s="19">
        <v>10.0</v>
      </c>
      <c r="AW13" s="19">
        <v>11.0</v>
      </c>
      <c r="AX13" s="19">
        <v>12.0</v>
      </c>
      <c r="AY13" s="19">
        <v>13.0</v>
      </c>
      <c r="AZ13" s="19">
        <v>14.0</v>
      </c>
      <c r="BA13" s="12"/>
      <c r="BB13" s="12"/>
      <c r="BC13" s="19">
        <v>15.0</v>
      </c>
      <c r="BD13" s="19">
        <v>16.0</v>
      </c>
      <c r="BE13" s="19">
        <v>17.0</v>
      </c>
      <c r="BF13" s="19">
        <v>18.0</v>
      </c>
      <c r="BG13" s="19">
        <v>19.0</v>
      </c>
      <c r="BH13" s="19">
        <v>20.0</v>
      </c>
      <c r="BI13" s="19">
        <v>21.0</v>
      </c>
      <c r="BJ13" s="19">
        <v>22.0</v>
      </c>
      <c r="BK13" s="17"/>
      <c r="BL13" s="12" t="str">
        <f t="shared" si="2"/>
        <v>J</v>
      </c>
      <c r="BM13" s="31" t="s">
        <v>21</v>
      </c>
      <c r="BN13" s="31">
        <v>1.0</v>
      </c>
      <c r="BO13" s="32" t="s">
        <v>41</v>
      </c>
      <c r="BP13" s="11"/>
    </row>
    <row r="14">
      <c r="A14" s="1" t="s">
        <v>17</v>
      </c>
      <c r="B14" s="12" t="s">
        <v>23</v>
      </c>
      <c r="C14" s="13"/>
      <c r="D14" s="19">
        <v>1.0</v>
      </c>
      <c r="E14" s="19">
        <v>2.0</v>
      </c>
      <c r="F14" s="19">
        <v>3.0</v>
      </c>
      <c r="G14" s="19">
        <v>4.0</v>
      </c>
      <c r="H14" s="19">
        <v>5.0</v>
      </c>
      <c r="I14" s="19">
        <v>6.0</v>
      </c>
      <c r="J14" s="19">
        <v>7.0</v>
      </c>
      <c r="K14" s="19">
        <v>8.0</v>
      </c>
      <c r="L14" s="19">
        <v>9.0</v>
      </c>
      <c r="M14" s="19">
        <v>10.0</v>
      </c>
      <c r="N14" s="19">
        <v>11.0</v>
      </c>
      <c r="O14" s="19">
        <v>12.0</v>
      </c>
      <c r="P14" s="19">
        <v>13.0</v>
      </c>
      <c r="Q14" s="19">
        <v>14.0</v>
      </c>
      <c r="R14" s="12"/>
      <c r="S14" s="12"/>
      <c r="T14" s="19">
        <v>15.0</v>
      </c>
      <c r="U14" s="19">
        <v>16.0</v>
      </c>
      <c r="V14" s="19">
        <v>17.0</v>
      </c>
      <c r="W14" s="19">
        <v>18.0</v>
      </c>
      <c r="X14" s="19">
        <v>19.0</v>
      </c>
      <c r="Y14" s="12"/>
      <c r="Z14" s="12"/>
      <c r="AA14" s="12"/>
      <c r="AB14" s="17"/>
      <c r="AC14" s="12" t="str">
        <f t="shared" si="1"/>
        <v>H</v>
      </c>
      <c r="AD14" s="2"/>
      <c r="AG14" s="11"/>
      <c r="AJ14" s="1" t="s">
        <v>17</v>
      </c>
      <c r="AK14" s="12" t="s">
        <v>23</v>
      </c>
      <c r="AL14" s="13"/>
      <c r="AM14" s="19">
        <v>1.0</v>
      </c>
      <c r="AN14" s="19">
        <v>2.0</v>
      </c>
      <c r="AO14" s="19">
        <v>3.0</v>
      </c>
      <c r="AP14" s="19">
        <v>4.0</v>
      </c>
      <c r="AQ14" s="19">
        <v>5.0</v>
      </c>
      <c r="AR14" s="19">
        <v>6.0</v>
      </c>
      <c r="AS14" s="19">
        <v>7.0</v>
      </c>
      <c r="AT14" s="19">
        <v>8.0</v>
      </c>
      <c r="AU14" s="19">
        <v>9.0</v>
      </c>
      <c r="AV14" s="19">
        <v>10.0</v>
      </c>
      <c r="AW14" s="19">
        <v>11.0</v>
      </c>
      <c r="AX14" s="19">
        <v>12.0</v>
      </c>
      <c r="AY14" s="19">
        <v>13.0</v>
      </c>
      <c r="AZ14" s="19">
        <v>14.0</v>
      </c>
      <c r="BA14" s="12"/>
      <c r="BB14" s="12"/>
      <c r="BC14" s="19">
        <v>15.0</v>
      </c>
      <c r="BD14" s="19">
        <v>16.0</v>
      </c>
      <c r="BE14" s="19">
        <v>17.0</v>
      </c>
      <c r="BF14" s="19">
        <v>18.0</v>
      </c>
      <c r="BG14" s="19">
        <v>19.0</v>
      </c>
      <c r="BH14" s="12"/>
      <c r="BI14" s="12"/>
      <c r="BJ14" s="12"/>
      <c r="BK14" s="17"/>
      <c r="BL14" s="12" t="str">
        <f t="shared" si="2"/>
        <v>H</v>
      </c>
      <c r="BM14" s="2"/>
      <c r="BP14" s="11"/>
    </row>
    <row r="15">
      <c r="A15" s="1" t="s">
        <v>17</v>
      </c>
      <c r="B15" s="12" t="s">
        <v>24</v>
      </c>
      <c r="C15" s="13"/>
      <c r="D15" s="19">
        <v>1.0</v>
      </c>
      <c r="E15" s="19">
        <v>2.0</v>
      </c>
      <c r="F15" s="19">
        <v>3.0</v>
      </c>
      <c r="G15" s="19">
        <v>4.0</v>
      </c>
      <c r="H15" s="19">
        <v>5.0</v>
      </c>
      <c r="I15" s="19">
        <v>6.0</v>
      </c>
      <c r="J15" s="19">
        <v>7.0</v>
      </c>
      <c r="K15" s="19">
        <v>8.0</v>
      </c>
      <c r="L15" s="19">
        <v>9.0</v>
      </c>
      <c r="M15" s="19">
        <v>10.0</v>
      </c>
      <c r="N15" s="19">
        <v>11.0</v>
      </c>
      <c r="O15" s="19">
        <v>12.0</v>
      </c>
      <c r="P15" s="19">
        <v>13.0</v>
      </c>
      <c r="Q15" s="19">
        <v>14.0</v>
      </c>
      <c r="R15" s="12"/>
      <c r="S15" s="12"/>
      <c r="T15" s="19">
        <v>15.0</v>
      </c>
      <c r="U15" s="19">
        <v>16.0</v>
      </c>
      <c r="V15" s="19">
        <v>17.0</v>
      </c>
      <c r="W15" s="19">
        <v>18.0</v>
      </c>
      <c r="X15" s="19">
        <v>19.0</v>
      </c>
      <c r="Y15" s="12"/>
      <c r="Z15" s="12"/>
      <c r="AA15" s="12"/>
      <c r="AB15" s="17"/>
      <c r="AC15" s="12" t="str">
        <f t="shared" si="1"/>
        <v>G</v>
      </c>
      <c r="AD15" s="33">
        <v>22.0</v>
      </c>
      <c r="AE15" s="34" t="s">
        <v>25</v>
      </c>
      <c r="AG15" s="11"/>
      <c r="AJ15" s="1" t="s">
        <v>17</v>
      </c>
      <c r="AK15" s="12" t="s">
        <v>24</v>
      </c>
      <c r="AL15" s="13"/>
      <c r="AM15" s="19">
        <v>1.0</v>
      </c>
      <c r="AN15" s="19">
        <v>2.0</v>
      </c>
      <c r="AO15" s="19">
        <v>3.0</v>
      </c>
      <c r="AP15" s="19">
        <v>4.0</v>
      </c>
      <c r="AQ15" s="19">
        <v>5.0</v>
      </c>
      <c r="AR15" s="19">
        <v>6.0</v>
      </c>
      <c r="AS15" s="19">
        <v>7.0</v>
      </c>
      <c r="AT15" s="19">
        <v>8.0</v>
      </c>
      <c r="AU15" s="19">
        <v>9.0</v>
      </c>
      <c r="AV15" s="19">
        <v>10.0</v>
      </c>
      <c r="AW15" s="19">
        <v>11.0</v>
      </c>
      <c r="AX15" s="19">
        <v>12.0</v>
      </c>
      <c r="AY15" s="19">
        <v>13.0</v>
      </c>
      <c r="AZ15" s="19">
        <v>14.0</v>
      </c>
      <c r="BA15" s="12"/>
      <c r="BB15" s="12"/>
      <c r="BC15" s="19">
        <v>15.0</v>
      </c>
      <c r="BD15" s="19">
        <v>16.0</v>
      </c>
      <c r="BE15" s="19">
        <v>17.0</v>
      </c>
      <c r="BF15" s="19">
        <v>18.0</v>
      </c>
      <c r="BG15" s="19">
        <v>19.0</v>
      </c>
      <c r="BH15" s="12"/>
      <c r="BI15" s="12"/>
      <c r="BJ15" s="12"/>
      <c r="BK15" s="17"/>
      <c r="BL15" s="12" t="str">
        <f t="shared" si="2"/>
        <v>G</v>
      </c>
      <c r="BM15" s="33">
        <v>22.0</v>
      </c>
      <c r="BN15" s="34" t="s">
        <v>25</v>
      </c>
      <c r="BP15" s="11"/>
    </row>
    <row r="16">
      <c r="A16" s="1" t="s">
        <v>17</v>
      </c>
      <c r="B16" s="12" t="s">
        <v>26</v>
      </c>
      <c r="C16" s="13"/>
      <c r="D16" s="19">
        <v>1.0</v>
      </c>
      <c r="E16" s="19">
        <v>2.0</v>
      </c>
      <c r="F16" s="19">
        <v>3.0</v>
      </c>
      <c r="G16" s="19">
        <v>4.0</v>
      </c>
      <c r="H16" s="19">
        <v>5.0</v>
      </c>
      <c r="I16" s="19">
        <v>6.0</v>
      </c>
      <c r="J16" s="19">
        <v>7.0</v>
      </c>
      <c r="K16" s="19">
        <v>8.0</v>
      </c>
      <c r="L16" s="19">
        <v>9.0</v>
      </c>
      <c r="M16" s="19">
        <v>10.0</v>
      </c>
      <c r="N16" s="19">
        <v>11.0</v>
      </c>
      <c r="O16" s="19">
        <v>12.0</v>
      </c>
      <c r="P16" s="19">
        <v>13.0</v>
      </c>
      <c r="Q16" s="19">
        <v>14.0</v>
      </c>
      <c r="R16" s="12"/>
      <c r="S16" s="12"/>
      <c r="T16" s="19">
        <v>15.0</v>
      </c>
      <c r="U16" s="19">
        <v>16.0</v>
      </c>
      <c r="V16" s="19">
        <v>17.0</v>
      </c>
      <c r="W16" s="19">
        <v>18.0</v>
      </c>
      <c r="X16" s="19">
        <v>19.0</v>
      </c>
      <c r="Y16" s="12"/>
      <c r="Z16" s="12"/>
      <c r="AA16" s="12"/>
      <c r="AB16" s="17"/>
      <c r="AC16" s="12" t="str">
        <f t="shared" si="1"/>
        <v>F</v>
      </c>
      <c r="AJ16" s="1" t="s">
        <v>17</v>
      </c>
      <c r="AK16" s="12" t="s">
        <v>26</v>
      </c>
      <c r="AL16" s="13"/>
      <c r="AM16" s="19">
        <v>1.0</v>
      </c>
      <c r="AN16" s="19">
        <v>2.0</v>
      </c>
      <c r="AO16" s="19">
        <v>3.0</v>
      </c>
      <c r="AP16" s="19">
        <v>4.0</v>
      </c>
      <c r="AQ16" s="19">
        <v>5.0</v>
      </c>
      <c r="AR16" s="19">
        <v>6.0</v>
      </c>
      <c r="AS16" s="19">
        <v>7.0</v>
      </c>
      <c r="AT16" s="19">
        <v>8.0</v>
      </c>
      <c r="AU16" s="19">
        <v>9.0</v>
      </c>
      <c r="AV16" s="19">
        <v>10.0</v>
      </c>
      <c r="AW16" s="19">
        <v>11.0</v>
      </c>
      <c r="AX16" s="19">
        <v>12.0</v>
      </c>
      <c r="AY16" s="19">
        <v>13.0</v>
      </c>
      <c r="AZ16" s="19">
        <v>14.0</v>
      </c>
      <c r="BA16" s="12"/>
      <c r="BB16" s="12"/>
      <c r="BC16" s="19">
        <v>15.0</v>
      </c>
      <c r="BD16" s="19">
        <v>16.0</v>
      </c>
      <c r="BE16" s="19">
        <v>17.0</v>
      </c>
      <c r="BF16" s="19">
        <v>18.0</v>
      </c>
      <c r="BG16" s="19">
        <v>19.0</v>
      </c>
      <c r="BH16" s="12"/>
      <c r="BI16" s="12"/>
      <c r="BJ16" s="12"/>
      <c r="BK16" s="17"/>
      <c r="BL16" s="12" t="str">
        <f t="shared" si="2"/>
        <v>F</v>
      </c>
    </row>
    <row r="17">
      <c r="A17" s="1" t="s">
        <v>17</v>
      </c>
      <c r="B17" s="12" t="s">
        <v>27</v>
      </c>
      <c r="C17" s="13"/>
      <c r="D17" s="19">
        <v>1.0</v>
      </c>
      <c r="E17" s="19">
        <v>2.0</v>
      </c>
      <c r="F17" s="19">
        <v>3.0</v>
      </c>
      <c r="G17" s="19">
        <v>4.0</v>
      </c>
      <c r="H17" s="19">
        <v>5.0</v>
      </c>
      <c r="I17" s="19">
        <v>6.0</v>
      </c>
      <c r="J17" s="19">
        <v>7.0</v>
      </c>
      <c r="K17" s="19">
        <v>8.0</v>
      </c>
      <c r="L17" s="19">
        <v>9.0</v>
      </c>
      <c r="M17" s="19">
        <v>10.0</v>
      </c>
      <c r="N17" s="19">
        <v>11.0</v>
      </c>
      <c r="O17" s="19">
        <v>12.0</v>
      </c>
      <c r="P17" s="19">
        <v>13.0</v>
      </c>
      <c r="Q17" s="19">
        <v>14.0</v>
      </c>
      <c r="R17" s="12"/>
      <c r="S17" s="12"/>
      <c r="T17" s="19">
        <v>15.0</v>
      </c>
      <c r="U17" s="19">
        <v>16.0</v>
      </c>
      <c r="V17" s="19">
        <v>17.0</v>
      </c>
      <c r="W17" s="19">
        <v>18.0</v>
      </c>
      <c r="X17" s="19">
        <v>19.0</v>
      </c>
      <c r="Y17" s="12"/>
      <c r="Z17" s="12"/>
      <c r="AA17" s="12"/>
      <c r="AB17" s="17"/>
      <c r="AC17" s="12" t="str">
        <f t="shared" si="1"/>
        <v>E</v>
      </c>
      <c r="AD17" s="2"/>
      <c r="AJ17" s="1" t="s">
        <v>17</v>
      </c>
      <c r="AK17" s="12" t="s">
        <v>27</v>
      </c>
      <c r="AL17" s="13"/>
      <c r="AM17" s="19">
        <v>1.0</v>
      </c>
      <c r="AN17" s="19">
        <v>2.0</v>
      </c>
      <c r="AO17" s="19">
        <v>3.0</v>
      </c>
      <c r="AP17" s="19">
        <v>4.0</v>
      </c>
      <c r="AQ17" s="19">
        <v>5.0</v>
      </c>
      <c r="AR17" s="19">
        <v>6.0</v>
      </c>
      <c r="AS17" s="19">
        <v>7.0</v>
      </c>
      <c r="AT17" s="19">
        <v>8.0</v>
      </c>
      <c r="AU17" s="19">
        <v>9.0</v>
      </c>
      <c r="AV17" s="19">
        <v>10.0</v>
      </c>
      <c r="AW17" s="19">
        <v>11.0</v>
      </c>
      <c r="AX17" s="19">
        <v>12.0</v>
      </c>
      <c r="AY17" s="19">
        <v>13.0</v>
      </c>
      <c r="AZ17" s="19">
        <v>14.0</v>
      </c>
      <c r="BA17" s="12"/>
      <c r="BB17" s="12"/>
      <c r="BC17" s="19">
        <v>15.0</v>
      </c>
      <c r="BD17" s="19">
        <v>16.0</v>
      </c>
      <c r="BE17" s="19">
        <v>17.0</v>
      </c>
      <c r="BF17" s="19">
        <v>18.0</v>
      </c>
      <c r="BG17" s="19">
        <v>19.0</v>
      </c>
      <c r="BH17" s="12"/>
      <c r="BI17" s="12"/>
      <c r="BJ17" s="12"/>
      <c r="BK17" s="17"/>
      <c r="BL17" s="12" t="str">
        <f t="shared" si="2"/>
        <v>E</v>
      </c>
      <c r="BM17" s="2"/>
    </row>
    <row r="18">
      <c r="A18" s="1" t="s">
        <v>17</v>
      </c>
      <c r="B18" s="12" t="s">
        <v>28</v>
      </c>
      <c r="C18" s="13"/>
      <c r="D18" s="19">
        <v>1.0</v>
      </c>
      <c r="E18" s="19">
        <v>2.0</v>
      </c>
      <c r="F18" s="19">
        <v>3.0</v>
      </c>
      <c r="G18" s="19">
        <v>4.0</v>
      </c>
      <c r="H18" s="19">
        <v>5.0</v>
      </c>
      <c r="I18" s="19">
        <v>6.0</v>
      </c>
      <c r="J18" s="19">
        <v>7.0</v>
      </c>
      <c r="K18" s="19">
        <v>8.0</v>
      </c>
      <c r="L18" s="19">
        <v>9.0</v>
      </c>
      <c r="M18" s="19">
        <v>10.0</v>
      </c>
      <c r="N18" s="19">
        <v>11.0</v>
      </c>
      <c r="O18" s="19">
        <v>12.0</v>
      </c>
      <c r="P18" s="19">
        <v>13.0</v>
      </c>
      <c r="Q18" s="19">
        <v>14.0</v>
      </c>
      <c r="R18" s="12"/>
      <c r="S18" s="12"/>
      <c r="T18" s="19">
        <v>15.0</v>
      </c>
      <c r="U18" s="19">
        <v>16.0</v>
      </c>
      <c r="V18" s="19">
        <v>17.0</v>
      </c>
      <c r="W18" s="19">
        <v>18.0</v>
      </c>
      <c r="X18" s="19">
        <v>19.0</v>
      </c>
      <c r="Y18" s="12"/>
      <c r="Z18" s="12"/>
      <c r="AA18" s="12"/>
      <c r="AB18" s="17"/>
      <c r="AC18" s="12" t="str">
        <f t="shared" si="1"/>
        <v>D</v>
      </c>
      <c r="AD18" s="2"/>
      <c r="AJ18" s="1" t="s">
        <v>17</v>
      </c>
      <c r="AK18" s="12" t="s">
        <v>28</v>
      </c>
      <c r="AL18" s="13"/>
      <c r="AM18" s="19">
        <v>1.0</v>
      </c>
      <c r="AN18" s="19">
        <v>2.0</v>
      </c>
      <c r="AO18" s="19">
        <v>3.0</v>
      </c>
      <c r="AP18" s="19">
        <v>4.0</v>
      </c>
      <c r="AQ18" s="19">
        <v>5.0</v>
      </c>
      <c r="AR18" s="19">
        <v>6.0</v>
      </c>
      <c r="AS18" s="19">
        <v>7.0</v>
      </c>
      <c r="AT18" s="19">
        <v>8.0</v>
      </c>
      <c r="AU18" s="19">
        <v>9.0</v>
      </c>
      <c r="AV18" s="19">
        <v>10.0</v>
      </c>
      <c r="AW18" s="19">
        <v>11.0</v>
      </c>
      <c r="AX18" s="19">
        <v>12.0</v>
      </c>
      <c r="AY18" s="19">
        <v>13.0</v>
      </c>
      <c r="AZ18" s="19">
        <v>14.0</v>
      </c>
      <c r="BA18" s="12"/>
      <c r="BB18" s="12"/>
      <c r="BC18" s="19">
        <v>15.0</v>
      </c>
      <c r="BD18" s="19">
        <v>16.0</v>
      </c>
      <c r="BE18" s="19">
        <v>17.0</v>
      </c>
      <c r="BF18" s="19">
        <v>18.0</v>
      </c>
      <c r="BG18" s="19">
        <v>19.0</v>
      </c>
      <c r="BH18" s="12"/>
      <c r="BI18" s="12"/>
      <c r="BJ18" s="12"/>
      <c r="BK18" s="17"/>
      <c r="BL18" s="12" t="str">
        <f t="shared" si="2"/>
        <v>D</v>
      </c>
      <c r="BM18" s="2"/>
    </row>
    <row r="19">
      <c r="A19" s="1" t="s">
        <v>17</v>
      </c>
      <c r="B19" s="12" t="s">
        <v>29</v>
      </c>
      <c r="C19" s="13"/>
      <c r="D19" s="19">
        <v>1.0</v>
      </c>
      <c r="E19" s="19">
        <v>2.0</v>
      </c>
      <c r="F19" s="19">
        <v>3.0</v>
      </c>
      <c r="G19" s="19">
        <v>4.0</v>
      </c>
      <c r="H19" s="19">
        <v>5.0</v>
      </c>
      <c r="I19" s="19">
        <v>6.0</v>
      </c>
      <c r="J19" s="19">
        <v>7.0</v>
      </c>
      <c r="K19" s="19">
        <v>8.0</v>
      </c>
      <c r="L19" s="19">
        <v>9.0</v>
      </c>
      <c r="M19" s="19">
        <v>10.0</v>
      </c>
      <c r="N19" s="19">
        <v>11.0</v>
      </c>
      <c r="O19" s="19">
        <v>12.0</v>
      </c>
      <c r="P19" s="19">
        <v>13.0</v>
      </c>
      <c r="Q19" s="19">
        <v>14.0</v>
      </c>
      <c r="R19" s="12"/>
      <c r="S19" s="12"/>
      <c r="T19" s="19">
        <v>15.0</v>
      </c>
      <c r="U19" s="19">
        <v>16.0</v>
      </c>
      <c r="V19" s="19">
        <v>17.0</v>
      </c>
      <c r="W19" s="19">
        <v>18.0</v>
      </c>
      <c r="X19" s="19">
        <v>19.0</v>
      </c>
      <c r="Y19" s="12"/>
      <c r="Z19" s="12"/>
      <c r="AA19" s="12"/>
      <c r="AB19" s="17"/>
      <c r="AC19" s="12" t="str">
        <f t="shared" si="1"/>
        <v>C</v>
      </c>
      <c r="AD19" s="2"/>
      <c r="AJ19" s="1" t="s">
        <v>17</v>
      </c>
      <c r="AK19" s="12" t="s">
        <v>29</v>
      </c>
      <c r="AL19" s="13"/>
      <c r="AM19" s="19">
        <v>1.0</v>
      </c>
      <c r="AN19" s="19">
        <v>2.0</v>
      </c>
      <c r="AO19" s="19">
        <v>3.0</v>
      </c>
      <c r="AP19" s="19">
        <v>4.0</v>
      </c>
      <c r="AQ19" s="19">
        <v>5.0</v>
      </c>
      <c r="AR19" s="19">
        <v>6.0</v>
      </c>
      <c r="AS19" s="19">
        <v>7.0</v>
      </c>
      <c r="AT19" s="19">
        <v>8.0</v>
      </c>
      <c r="AU19" s="19">
        <v>9.0</v>
      </c>
      <c r="AV19" s="19">
        <v>10.0</v>
      </c>
      <c r="AW19" s="19">
        <v>11.0</v>
      </c>
      <c r="AX19" s="19">
        <v>12.0</v>
      </c>
      <c r="AY19" s="19">
        <v>13.0</v>
      </c>
      <c r="AZ19" s="19">
        <v>14.0</v>
      </c>
      <c r="BA19" s="12"/>
      <c r="BB19" s="12"/>
      <c r="BC19" s="19">
        <v>15.0</v>
      </c>
      <c r="BD19" s="19">
        <v>16.0</v>
      </c>
      <c r="BE19" s="19">
        <v>17.0</v>
      </c>
      <c r="BF19" s="19">
        <v>18.0</v>
      </c>
      <c r="BG19" s="19">
        <v>19.0</v>
      </c>
      <c r="BH19" s="12"/>
      <c r="BI19" s="12"/>
      <c r="BJ19" s="12"/>
      <c r="BK19" s="17"/>
      <c r="BL19" s="12" t="str">
        <f t="shared" si="2"/>
        <v>C</v>
      </c>
      <c r="BM19" s="2"/>
    </row>
    <row r="20">
      <c r="B20" s="12" t="s">
        <v>30</v>
      </c>
      <c r="C20" s="13"/>
      <c r="D20" s="35">
        <v>1.0</v>
      </c>
      <c r="E20" s="35">
        <v>2.0</v>
      </c>
      <c r="F20" s="35">
        <v>3.0</v>
      </c>
      <c r="G20" s="35">
        <v>4.0</v>
      </c>
      <c r="H20" s="35">
        <v>5.0</v>
      </c>
      <c r="I20" s="35">
        <v>6.0</v>
      </c>
      <c r="J20" s="35">
        <v>7.0</v>
      </c>
      <c r="K20" s="35">
        <v>8.0</v>
      </c>
      <c r="L20" s="35">
        <v>9.0</v>
      </c>
      <c r="M20" s="35">
        <v>10.0</v>
      </c>
      <c r="N20" s="35">
        <v>11.0</v>
      </c>
      <c r="O20" s="35">
        <v>12.0</v>
      </c>
      <c r="P20" s="35">
        <v>13.0</v>
      </c>
      <c r="Q20" s="35">
        <v>14.0</v>
      </c>
      <c r="R20" s="12"/>
      <c r="S20" s="12"/>
      <c r="T20" s="35">
        <v>15.0</v>
      </c>
      <c r="U20" s="35">
        <v>16.0</v>
      </c>
      <c r="V20" s="35">
        <v>17.0</v>
      </c>
      <c r="W20" s="35">
        <v>18.0</v>
      </c>
      <c r="X20" s="35">
        <v>19.0</v>
      </c>
      <c r="Y20" s="12"/>
      <c r="Z20" s="12"/>
      <c r="AA20" s="12"/>
      <c r="AB20" s="17"/>
      <c r="AC20" s="12" t="str">
        <f t="shared" si="1"/>
        <v>B</v>
      </c>
      <c r="AD20" s="2"/>
      <c r="AK20" s="12" t="s">
        <v>30</v>
      </c>
      <c r="AL20" s="13"/>
      <c r="AM20" s="35">
        <v>1.0</v>
      </c>
      <c r="AN20" s="35">
        <v>2.0</v>
      </c>
      <c r="AO20" s="35">
        <v>3.0</v>
      </c>
      <c r="AP20" s="35">
        <v>4.0</v>
      </c>
      <c r="AQ20" s="35">
        <v>5.0</v>
      </c>
      <c r="AR20" s="35">
        <v>6.0</v>
      </c>
      <c r="AS20" s="35">
        <v>7.0</v>
      </c>
      <c r="AT20" s="35">
        <v>8.0</v>
      </c>
      <c r="AU20" s="35">
        <v>9.0</v>
      </c>
      <c r="AV20" s="35">
        <v>10.0</v>
      </c>
      <c r="AW20" s="35">
        <v>11.0</v>
      </c>
      <c r="AX20" s="35">
        <v>12.0</v>
      </c>
      <c r="AY20" s="35">
        <v>13.0</v>
      </c>
      <c r="AZ20" s="35">
        <v>14.0</v>
      </c>
      <c r="BA20" s="12"/>
      <c r="BB20" s="12"/>
      <c r="BC20" s="35">
        <v>15.0</v>
      </c>
      <c r="BD20" s="35">
        <v>16.0</v>
      </c>
      <c r="BE20" s="35">
        <v>17.0</v>
      </c>
      <c r="BF20" s="35">
        <v>18.0</v>
      </c>
      <c r="BG20" s="35">
        <v>19.0</v>
      </c>
      <c r="BH20" s="12"/>
      <c r="BI20" s="12"/>
      <c r="BJ20" s="12"/>
      <c r="BK20" s="17"/>
      <c r="BL20" s="12" t="str">
        <f t="shared" si="2"/>
        <v>B</v>
      </c>
      <c r="BM20" s="2"/>
    </row>
    <row r="21" ht="34.5" customHeight="1">
      <c r="A21" s="36"/>
      <c r="B21" s="37" t="s">
        <v>31</v>
      </c>
      <c r="C21" s="38"/>
      <c r="D21" s="40">
        <v>1.0</v>
      </c>
      <c r="E21" s="39">
        <v>2.0</v>
      </c>
      <c r="F21" s="39">
        <v>3.0</v>
      </c>
      <c r="G21" s="39">
        <v>4.0</v>
      </c>
      <c r="H21" s="39">
        <v>5.0</v>
      </c>
      <c r="I21" s="39">
        <v>6.0</v>
      </c>
      <c r="J21" s="39">
        <v>7.0</v>
      </c>
      <c r="K21" s="39">
        <v>8.0</v>
      </c>
      <c r="L21" s="39">
        <v>9.0</v>
      </c>
      <c r="M21" s="39">
        <v>10.0</v>
      </c>
      <c r="N21" s="39">
        <v>11.0</v>
      </c>
      <c r="O21" s="39">
        <v>12.0</v>
      </c>
      <c r="P21" s="39">
        <v>13.0</v>
      </c>
      <c r="Q21" s="39">
        <v>14.0</v>
      </c>
      <c r="R21" s="37"/>
      <c r="S21" s="37"/>
      <c r="U21" s="39">
        <v>15.0</v>
      </c>
      <c r="V21" s="39">
        <v>16.0</v>
      </c>
      <c r="W21" s="39">
        <v>17.0</v>
      </c>
      <c r="X21" s="39">
        <v>18.0</v>
      </c>
      <c r="Y21" s="41"/>
      <c r="Z21" s="41"/>
      <c r="AA21" s="41"/>
      <c r="AB21" s="42"/>
      <c r="AC21" s="37" t="str">
        <f t="shared" si="1"/>
        <v>A</v>
      </c>
      <c r="AD21" s="43"/>
      <c r="AE21" s="36"/>
      <c r="AF21" s="36"/>
      <c r="AG21" s="36"/>
      <c r="AH21" s="36"/>
      <c r="AI21" s="36"/>
      <c r="AJ21" s="36"/>
      <c r="AK21" s="37" t="s">
        <v>31</v>
      </c>
      <c r="AL21" s="38"/>
      <c r="AM21" s="40">
        <v>1.0</v>
      </c>
      <c r="AN21" s="39">
        <v>2.0</v>
      </c>
      <c r="AO21" s="39">
        <v>3.0</v>
      </c>
      <c r="AP21" s="39">
        <v>4.0</v>
      </c>
      <c r="AQ21" s="39">
        <v>5.0</v>
      </c>
      <c r="AR21" s="39">
        <v>6.0</v>
      </c>
      <c r="AS21" s="39">
        <v>7.0</v>
      </c>
      <c r="AT21" s="39">
        <v>8.0</v>
      </c>
      <c r="AU21" s="39">
        <v>9.0</v>
      </c>
      <c r="AV21" s="39">
        <v>10.0</v>
      </c>
      <c r="AW21" s="39">
        <v>11.0</v>
      </c>
      <c r="AX21" s="39">
        <v>12.0</v>
      </c>
      <c r="AY21" s="39">
        <v>13.0</v>
      </c>
      <c r="AZ21" s="39">
        <v>14.0</v>
      </c>
      <c r="BA21" s="37"/>
      <c r="BB21" s="37"/>
      <c r="BD21" s="39">
        <v>15.0</v>
      </c>
      <c r="BE21" s="39">
        <v>16.0</v>
      </c>
      <c r="BF21" s="39">
        <v>17.0</v>
      </c>
      <c r="BG21" s="39">
        <v>18.0</v>
      </c>
      <c r="BH21" s="41"/>
      <c r="BI21" s="41"/>
      <c r="BJ21" s="41"/>
      <c r="BK21" s="42"/>
      <c r="BL21" s="37" t="str">
        <f t="shared" si="2"/>
        <v>A</v>
      </c>
      <c r="BM21" s="43"/>
      <c r="BN21" s="36"/>
      <c r="BO21" s="36"/>
      <c r="BP21" s="36"/>
    </row>
    <row r="22" ht="15.75" customHeight="1">
      <c r="B22" s="18"/>
      <c r="C22" s="44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45"/>
      <c r="AC22" s="18"/>
      <c r="AD22" s="2"/>
      <c r="AK22" s="18"/>
      <c r="AL22" s="44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45"/>
      <c r="BL22" s="18"/>
      <c r="BM22" s="2"/>
    </row>
    <row r="23" ht="15.75" customHeight="1">
      <c r="B23" s="18"/>
      <c r="C23" s="44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45"/>
      <c r="AC23" s="18"/>
      <c r="AD23" s="2"/>
      <c r="AK23" s="18"/>
      <c r="AL23" s="44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45"/>
      <c r="BL23" s="18"/>
      <c r="BM23" s="2"/>
    </row>
    <row r="24" ht="15.75" customHeight="1">
      <c r="C24" s="4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47"/>
      <c r="AD24" s="2"/>
      <c r="AL24" s="46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47"/>
      <c r="BM24" s="2"/>
    </row>
    <row r="25" ht="15.75" customHeight="1">
      <c r="C25" s="4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47"/>
      <c r="AD25" s="2"/>
      <c r="AL25" s="46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47"/>
      <c r="BM25" s="2"/>
    </row>
    <row r="26" ht="15.75" customHeight="1">
      <c r="C26" s="4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47"/>
      <c r="AD26" s="2"/>
      <c r="AL26" s="46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47"/>
      <c r="BM26" s="2"/>
    </row>
    <row r="27" ht="15.75" customHeight="1">
      <c r="C27" s="4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47"/>
      <c r="AD27" s="2"/>
      <c r="AL27" s="46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47"/>
      <c r="BM27" s="2"/>
    </row>
    <row r="28" ht="15.75" customHeight="1"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50"/>
      <c r="AD28" s="2"/>
      <c r="AL28" s="48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50"/>
      <c r="BM28" s="2"/>
    </row>
    <row r="29" ht="15.75" customHeight="1">
      <c r="AA29" s="1"/>
      <c r="AB29" s="1"/>
      <c r="AD29" s="2"/>
      <c r="BJ29" s="1"/>
      <c r="BK29" s="1"/>
      <c r="BM29" s="2"/>
    </row>
    <row r="30" ht="15.75" customHeight="1">
      <c r="AA30" s="1"/>
      <c r="AB30" s="1"/>
      <c r="AD30" s="2"/>
      <c r="BJ30" s="1"/>
      <c r="BK30" s="1"/>
      <c r="BM30" s="2"/>
    </row>
    <row r="31" ht="15.75" customHeight="1">
      <c r="AA31" s="1"/>
      <c r="AB31" s="1"/>
      <c r="AD31" s="2"/>
      <c r="BJ31" s="1"/>
      <c r="BK31" s="1"/>
      <c r="BM31" s="2"/>
    </row>
    <row r="32" ht="15.75" customHeight="1">
      <c r="AA32" s="1"/>
      <c r="AB32" s="1"/>
      <c r="AD32" s="2"/>
      <c r="BJ32" s="1"/>
      <c r="BK32" s="1"/>
      <c r="BM32" s="2"/>
    </row>
    <row r="33" ht="15.75" customHeight="1">
      <c r="AA33" s="1"/>
      <c r="AB33" s="1"/>
      <c r="AD33" s="2"/>
      <c r="BJ33" s="1"/>
      <c r="BK33" s="1"/>
      <c r="BM33" s="2"/>
    </row>
    <row r="34" ht="15.75" customHeight="1">
      <c r="AA34" s="1"/>
      <c r="AB34" s="1"/>
      <c r="AD34" s="2"/>
      <c r="BJ34" s="1"/>
      <c r="BK34" s="1"/>
      <c r="BM34" s="2"/>
    </row>
    <row r="35" ht="15.75" customHeight="1">
      <c r="AA35" s="1"/>
      <c r="AB35" s="1"/>
      <c r="AD35" s="2"/>
    </row>
    <row r="36" ht="15.75" customHeight="1">
      <c r="AA36" s="1"/>
      <c r="AB36" s="1"/>
      <c r="AD36" s="2"/>
    </row>
    <row r="37" ht="15.75" customHeight="1">
      <c r="AA37" s="1"/>
      <c r="AB37" s="1"/>
      <c r="AD37" s="2"/>
    </row>
    <row r="38" ht="15.75" customHeight="1">
      <c r="AA38" s="1"/>
      <c r="AB38" s="1"/>
      <c r="AD38" s="2"/>
    </row>
    <row r="39" ht="15.75" customHeight="1">
      <c r="AA39" s="1"/>
      <c r="AB39" s="1"/>
      <c r="AD39" s="2"/>
    </row>
    <row r="40" ht="15.75" customHeight="1">
      <c r="AA40" s="1"/>
      <c r="AB40" s="1"/>
      <c r="AD40" s="2"/>
    </row>
    <row r="41" ht="15.75" customHeight="1">
      <c r="AA41" s="1"/>
      <c r="AB41" s="1"/>
      <c r="AD41" s="2"/>
    </row>
    <row r="42" ht="15.75" customHeight="1">
      <c r="AA42" s="1"/>
      <c r="AB42" s="1"/>
      <c r="AD42" s="2"/>
    </row>
    <row r="43" ht="15.75" customHeight="1">
      <c r="AA43" s="1"/>
      <c r="AB43" s="1"/>
      <c r="AD43" s="2"/>
    </row>
    <row r="44" ht="15.75" customHeight="1">
      <c r="AA44" s="1"/>
      <c r="AB44" s="1"/>
      <c r="AD44" s="2"/>
    </row>
    <row r="45" ht="15.75" customHeight="1">
      <c r="AA45" s="1"/>
      <c r="AB45" s="1"/>
      <c r="AD45" s="2"/>
    </row>
    <row r="46" ht="15.75" customHeight="1">
      <c r="AA46" s="1"/>
      <c r="AB46" s="1"/>
      <c r="AD46" s="2"/>
    </row>
    <row r="47" ht="15.75" customHeight="1">
      <c r="AA47" s="1"/>
      <c r="AB47" s="1"/>
      <c r="AD47" s="2"/>
    </row>
    <row r="48" ht="15.75" customHeight="1">
      <c r="AA48" s="1"/>
      <c r="AB48" s="1"/>
      <c r="AD48" s="2"/>
    </row>
    <row r="49" ht="15.75" customHeight="1">
      <c r="AA49" s="1"/>
      <c r="AB49" s="1"/>
      <c r="AD49" s="2"/>
    </row>
    <row r="50" ht="15.75" customHeight="1">
      <c r="AA50" s="1"/>
      <c r="AB50" s="1"/>
      <c r="AD50" s="2"/>
    </row>
    <row r="51" ht="15.75" customHeight="1">
      <c r="AA51" s="1"/>
      <c r="AB51" s="1"/>
      <c r="AD51" s="2"/>
    </row>
    <row r="52" ht="15.75" customHeight="1">
      <c r="AA52" s="1"/>
      <c r="AB52" s="1"/>
      <c r="AD52" s="2"/>
    </row>
    <row r="53" ht="15.75" customHeight="1">
      <c r="AA53" s="1"/>
      <c r="AB53" s="1"/>
      <c r="AD53" s="2"/>
    </row>
    <row r="54" ht="15.75" customHeight="1">
      <c r="AA54" s="1"/>
      <c r="AB54" s="1"/>
      <c r="AD54" s="2"/>
    </row>
    <row r="55" ht="15.75" customHeight="1">
      <c r="AA55" s="1"/>
      <c r="AB55" s="1"/>
      <c r="AD55" s="2"/>
    </row>
    <row r="56" ht="15.75" customHeight="1">
      <c r="AA56" s="1"/>
      <c r="AB56" s="1"/>
      <c r="AD56" s="2"/>
    </row>
    <row r="57" ht="15.75" customHeight="1">
      <c r="AA57" s="1"/>
      <c r="AB57" s="1"/>
      <c r="AD57" s="2"/>
    </row>
    <row r="58" ht="15.75" customHeight="1">
      <c r="AA58" s="1"/>
      <c r="AB58" s="1"/>
      <c r="AD58" s="2"/>
    </row>
    <row r="59" ht="15.75" customHeight="1">
      <c r="AA59" s="1"/>
      <c r="AB59" s="1"/>
      <c r="AD59" s="2"/>
    </row>
    <row r="60" ht="15.75" customHeight="1">
      <c r="AA60" s="1"/>
      <c r="AB60" s="1"/>
      <c r="AD60" s="2"/>
    </row>
    <row r="61" ht="15.75" customHeight="1">
      <c r="AA61" s="1"/>
      <c r="AB61" s="1"/>
      <c r="AD61" s="2"/>
    </row>
    <row r="62" ht="15.75" customHeight="1">
      <c r="AA62" s="1"/>
      <c r="AB62" s="1"/>
      <c r="AD62" s="2"/>
    </row>
    <row r="63" ht="15.75" customHeight="1">
      <c r="AA63" s="1"/>
      <c r="AB63" s="1"/>
      <c r="AD63" s="2"/>
    </row>
    <row r="64" ht="15.75" customHeight="1">
      <c r="AA64" s="1"/>
      <c r="AB64" s="1"/>
      <c r="AD64" s="2"/>
    </row>
    <row r="65" ht="15.75" customHeight="1">
      <c r="AA65" s="1"/>
      <c r="AB65" s="1"/>
      <c r="AD65" s="2"/>
    </row>
    <row r="66" ht="15.75" customHeight="1">
      <c r="AA66" s="1"/>
      <c r="AB66" s="1"/>
      <c r="AD66" s="2"/>
    </row>
    <row r="67" ht="15.75" customHeight="1">
      <c r="AA67" s="1"/>
      <c r="AB67" s="1"/>
      <c r="AD67" s="2"/>
    </row>
    <row r="68" ht="15.75" customHeight="1">
      <c r="AA68" s="1"/>
      <c r="AB68" s="1"/>
      <c r="AD68" s="2"/>
    </row>
    <row r="69" ht="15.75" customHeight="1">
      <c r="AA69" s="1"/>
      <c r="AB69" s="1"/>
      <c r="AD69" s="2"/>
    </row>
    <row r="70" ht="15.75" customHeight="1">
      <c r="AA70" s="1"/>
      <c r="AB70" s="1"/>
      <c r="AD70" s="2"/>
    </row>
    <row r="71" ht="15.75" customHeight="1">
      <c r="AA71" s="1"/>
      <c r="AB71" s="1"/>
      <c r="AD71" s="2"/>
    </row>
    <row r="72" ht="15.75" customHeight="1">
      <c r="AA72" s="1"/>
      <c r="AB72" s="1"/>
      <c r="AD72" s="2"/>
    </row>
    <row r="73" ht="15.75" customHeight="1">
      <c r="AA73" s="1"/>
      <c r="AB73" s="1"/>
      <c r="AD73" s="2"/>
    </row>
    <row r="74" ht="15.75" customHeight="1">
      <c r="AA74" s="1"/>
      <c r="AB74" s="1"/>
      <c r="AD74" s="2"/>
    </row>
    <row r="75" ht="15.75" customHeight="1">
      <c r="AA75" s="1"/>
      <c r="AB75" s="1"/>
      <c r="AD75" s="2"/>
    </row>
    <row r="76" ht="15.75" customHeight="1">
      <c r="AA76" s="1"/>
      <c r="AB76" s="1"/>
      <c r="AD76" s="2"/>
    </row>
    <row r="77" ht="15.75" customHeight="1">
      <c r="AA77" s="1"/>
      <c r="AB77" s="1"/>
      <c r="AD77" s="2"/>
    </row>
    <row r="78" ht="15.75" customHeight="1">
      <c r="AA78" s="1"/>
      <c r="AB78" s="1"/>
      <c r="AD78" s="2"/>
    </row>
    <row r="79" ht="15.75" customHeight="1">
      <c r="AA79" s="1"/>
      <c r="AB79" s="1"/>
      <c r="AD79" s="2"/>
    </row>
    <row r="80" ht="15.75" customHeight="1">
      <c r="AA80" s="1"/>
      <c r="AB80" s="1"/>
      <c r="AD80" s="2"/>
    </row>
    <row r="81" ht="15.75" customHeight="1">
      <c r="AA81" s="1"/>
      <c r="AB81" s="1"/>
      <c r="AD81" s="2"/>
    </row>
    <row r="82" ht="15.75" customHeight="1">
      <c r="AA82" s="1"/>
      <c r="AB82" s="1"/>
      <c r="AD82" s="2"/>
    </row>
    <row r="83" ht="15.75" customHeight="1">
      <c r="AA83" s="1"/>
      <c r="AB83" s="1"/>
      <c r="AD83" s="2"/>
    </row>
    <row r="84" ht="15.75" customHeight="1">
      <c r="AA84" s="1"/>
      <c r="AB84" s="1"/>
      <c r="AD84" s="2"/>
    </row>
    <row r="85" ht="15.75" customHeight="1">
      <c r="AA85" s="1"/>
      <c r="AB85" s="1"/>
      <c r="AD85" s="2"/>
    </row>
    <row r="86" ht="15.75" customHeight="1">
      <c r="AA86" s="1"/>
      <c r="AB86" s="1"/>
      <c r="AD86" s="2"/>
    </row>
    <row r="87" ht="15.75" customHeight="1">
      <c r="AA87" s="1"/>
      <c r="AB87" s="1"/>
      <c r="AD87" s="2"/>
    </row>
    <row r="88" ht="15.75" customHeight="1">
      <c r="AA88" s="1"/>
      <c r="AB88" s="1"/>
      <c r="AD88" s="2"/>
    </row>
    <row r="89" ht="15.75" customHeight="1">
      <c r="AA89" s="1"/>
      <c r="AB89" s="1"/>
      <c r="AD89" s="2"/>
    </row>
    <row r="90" ht="15.75" customHeight="1">
      <c r="AA90" s="1"/>
      <c r="AB90" s="1"/>
      <c r="AD90" s="2"/>
    </row>
    <row r="91" ht="15.75" customHeight="1">
      <c r="AA91" s="1"/>
      <c r="AB91" s="1"/>
      <c r="AD91" s="2"/>
    </row>
    <row r="92" ht="15.75" customHeight="1">
      <c r="AA92" s="1"/>
      <c r="AB92" s="1"/>
      <c r="AD92" s="2"/>
    </row>
    <row r="93" ht="15.75" customHeight="1">
      <c r="AA93" s="1"/>
      <c r="AB93" s="1"/>
      <c r="AD93" s="2"/>
    </row>
    <row r="94" ht="15.75" customHeight="1">
      <c r="AA94" s="1"/>
      <c r="AB94" s="1"/>
      <c r="AD94" s="2"/>
    </row>
    <row r="95" ht="15.75" customHeight="1">
      <c r="AA95" s="1"/>
      <c r="AB95" s="1"/>
      <c r="AD95" s="2"/>
    </row>
    <row r="96" ht="15.75" customHeight="1">
      <c r="AA96" s="1"/>
      <c r="AB96" s="1"/>
      <c r="AD96" s="2"/>
    </row>
    <row r="97" ht="15.75" customHeight="1">
      <c r="AA97" s="1"/>
      <c r="AB97" s="1"/>
      <c r="AD97" s="2"/>
    </row>
    <row r="98" ht="15.75" customHeight="1">
      <c r="AA98" s="1"/>
      <c r="AB98" s="1"/>
      <c r="AD98" s="2"/>
    </row>
    <row r="99" ht="15.75" customHeight="1">
      <c r="AA99" s="1"/>
      <c r="AB99" s="1"/>
      <c r="AD99" s="2"/>
    </row>
    <row r="100" ht="15.75" customHeight="1">
      <c r="AA100" s="1"/>
      <c r="AB100" s="1"/>
      <c r="AD100" s="2"/>
    </row>
  </sheetData>
  <mergeCells count="14">
    <mergeCell ref="H3:Y3"/>
    <mergeCell ref="AQ3:BH3"/>
    <mergeCell ref="AM6:AN6"/>
    <mergeCell ref="AO6:AP6"/>
    <mergeCell ref="AU6:AV6"/>
    <mergeCell ref="AZ6:BA6"/>
    <mergeCell ref="Z6:AA6"/>
    <mergeCell ref="D6:E6"/>
    <mergeCell ref="F6:G6"/>
    <mergeCell ref="L6:M6"/>
    <mergeCell ref="Q6:R6"/>
    <mergeCell ref="X6:Y6"/>
    <mergeCell ref="BI6:BJ6"/>
    <mergeCell ref="BG6:BH6"/>
  </mergeCells>
  <printOptions/>
  <pageMargins bottom="0.748031496062992" footer="0.0" header="0.0" left="0.196850393700787" right="0.196850393700787" top="0.748031496062992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0.43"/>
    <col customWidth="1" min="6" max="11" width="9.0"/>
  </cols>
  <sheetData>
    <row r="5">
      <c r="E5" s="51" t="s">
        <v>9</v>
      </c>
      <c r="F5" s="52" t="s">
        <v>42</v>
      </c>
      <c r="G5" s="52" t="s">
        <v>43</v>
      </c>
      <c r="H5" s="52" t="s">
        <v>44</v>
      </c>
      <c r="I5" s="53" t="s">
        <v>45</v>
      </c>
      <c r="J5" s="54" t="str">
        <f>SUM(F9:I9)</f>
        <v>1117</v>
      </c>
    </row>
    <row r="6">
      <c r="E6" s="55" t="s">
        <v>46</v>
      </c>
      <c r="F6" s="56">
        <v>16.0</v>
      </c>
      <c r="G6" s="56">
        <v>14.0</v>
      </c>
      <c r="H6" s="56">
        <v>19.0</v>
      </c>
      <c r="I6" s="57">
        <v>18.0</v>
      </c>
      <c r="J6" s="58"/>
    </row>
    <row r="7">
      <c r="E7" s="59" t="s">
        <v>47</v>
      </c>
      <c r="F7" s="60">
        <v>216.0</v>
      </c>
      <c r="G7" s="60">
        <v>180.0</v>
      </c>
      <c r="H7" s="60">
        <v>272.0</v>
      </c>
      <c r="I7" s="61">
        <v>246.0</v>
      </c>
      <c r="J7" s="58"/>
    </row>
    <row r="8">
      <c r="E8" s="59" t="s">
        <v>9</v>
      </c>
      <c r="F8" s="60">
        <v>33.0</v>
      </c>
      <c r="G8" s="60">
        <v>27.0</v>
      </c>
      <c r="H8" s="60">
        <v>39.0</v>
      </c>
      <c r="I8" s="61">
        <v>37.0</v>
      </c>
      <c r="J8" s="58"/>
    </row>
    <row r="9">
      <c r="E9" s="62" t="s">
        <v>48</v>
      </c>
      <c r="F9" s="63" t="str">
        <f t="shared" ref="F9:I9" si="1">SUM(F6:F8)</f>
        <v>265</v>
      </c>
      <c r="G9" s="63" t="str">
        <f t="shared" si="1"/>
        <v>221</v>
      </c>
      <c r="H9" s="63" t="str">
        <f t="shared" si="1"/>
        <v>330</v>
      </c>
      <c r="I9" s="64" t="str">
        <f t="shared" si="1"/>
        <v>301</v>
      </c>
      <c r="J9" s="65"/>
    </row>
    <row r="15">
      <c r="E15" s="66" t="s">
        <v>9</v>
      </c>
      <c r="F15" s="66" t="s">
        <v>43</v>
      </c>
    </row>
    <row r="16">
      <c r="E16" s="67" t="s">
        <v>46</v>
      </c>
      <c r="F16" s="67">
        <v>14.0</v>
      </c>
      <c r="G16">
        <v>390.0</v>
      </c>
    </row>
    <row r="17">
      <c r="E17" s="67" t="s">
        <v>47</v>
      </c>
      <c r="F17" s="67">
        <v>180.0</v>
      </c>
      <c r="G17">
        <v>210.0</v>
      </c>
    </row>
    <row r="18">
      <c r="E18" s="67" t="s">
        <v>9</v>
      </c>
      <c r="F18" s="67">
        <v>27.0</v>
      </c>
      <c r="G18">
        <v>190.0</v>
      </c>
    </row>
    <row r="19">
      <c r="E19" s="68" t="s">
        <v>48</v>
      </c>
      <c r="F19" s="68">
        <v>221.0</v>
      </c>
      <c r="G19" t="str">
        <f>(SUMPRODUCT(G16:G18,F16:F18))/F19</f>
        <v>218.959276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J5:J9"/>
  </mergeCells>
  <printOptions/>
  <pageMargins bottom="0.7480314960629921" footer="0.0" header="0.0" left="1.9291338582677167" right="0.7086614173228347" top="2.677165354330709"/>
  <pageSetup scale="16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baseType="lpstr" size="9">
      <vt:lpstr>AUDI 1</vt:lpstr>
      <vt:lpstr>AUDI 2</vt:lpstr>
      <vt:lpstr>AUDI 3</vt:lpstr>
      <vt:lpstr>AUDI 4</vt:lpstr>
      <vt:lpstr>Sheet1</vt:lpstr>
      <vt:lpstr>'AUDI 1'!Print_Area</vt:lpstr>
      <vt:lpstr>'AUDI 2'!Print_Area</vt:lpstr>
      <vt:lpstr>'AUDI 3'!Print_Area</vt:lpstr>
      <vt:lpstr>'AUDI 4'!Print_Area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cp:lastModifiedBy>Lenovo</cp:lastModifiedBy>
  <cp:lastPrinted>2025-04-27T06:40:13Z</cp:lastPrinted>
  <dcterms:modified xsi:type="dcterms:W3CDTF">2025-06-27T13:36:02Z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DA6A5BC4918C4D7E8A76AA6838733CB5_12</vt:lpwstr>
  </property>
  <property fmtid="{D5CDD505-2E9C-101B-9397-08002B2CF9AE}" pid="3" name="KSOProductBuildVer">
    <vt:lpwstr>1033-12.2.0.13431</vt:lpwstr>
  </property>
</Properties>
</file>